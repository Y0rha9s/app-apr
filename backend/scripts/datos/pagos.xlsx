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360" windowHeight="7635" tabRatio="540" firstSheet="10" activeTab="14"/>
  </bookViews>
  <sheets>
    <sheet name="ENERO" sheetId="1" r:id="rId1"/>
    <sheet name="FEBRERO" sheetId="2" r:id="rId2"/>
    <sheet name="MARZO" sheetId="3" r:id="rId3"/>
    <sheet name="ABRIL" sheetId="4" r:id="rId4"/>
    <sheet name="MAYO" sheetId="5" r:id="rId5"/>
    <sheet name="JUNIO" sheetId="6" r:id="rId6"/>
    <sheet name="JULIO" sheetId="7" r:id="rId7"/>
    <sheet name="AGOSTO" sheetId="8" r:id="rId8"/>
    <sheet name="SEPTIEMBRE" sheetId="9" r:id="rId9"/>
    <sheet name=" OCTUBRE 2025" sheetId="10" r:id="rId10"/>
    <sheet name="NOVIEMBRE" sheetId="11" r:id="rId11"/>
    <sheet name="DICIEMBRE" sheetId="12" r:id="rId12"/>
    <sheet name="ENERO 2026" sheetId="13" r:id="rId13"/>
    <sheet name=" FEBRERO 2026" sheetId="14" r:id="rId14"/>
    <sheet name="MARZO 2026" sheetId="15" r:id="rId15"/>
  </sheets>
  <calcPr calcId="152511"/>
</workbook>
</file>

<file path=xl/calcChain.xml><?xml version="1.0" encoding="utf-8"?>
<calcChain xmlns="http://schemas.openxmlformats.org/spreadsheetml/2006/main">
  <c r="A202" i="15" l="1"/>
  <c r="A82" i="15"/>
  <c r="A83" i="15" s="1"/>
  <c r="A84" i="15" s="1"/>
  <c r="A85" i="15" s="1"/>
  <c r="A86" i="15" s="1"/>
  <c r="A87" i="15" s="1"/>
  <c r="A88" i="15" s="1"/>
  <c r="A89" i="15" s="1"/>
  <c r="A90" i="15" s="1"/>
  <c r="A91" i="15" s="1"/>
  <c r="A7" i="15"/>
  <c r="A8" i="15" s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A67" i="15" s="1"/>
  <c r="A68" i="15" s="1"/>
  <c r="A69" i="15" s="1"/>
  <c r="A70" i="15" s="1"/>
  <c r="A71" i="15" s="1"/>
  <c r="A72" i="15" s="1"/>
  <c r="A73" i="15" s="1"/>
  <c r="A203" i="14" l="1"/>
  <c r="A83" i="14"/>
  <c r="A84" i="14" s="1"/>
  <c r="A85" i="14" s="1"/>
  <c r="A86" i="14" s="1"/>
  <c r="A87" i="14" s="1"/>
  <c r="A88" i="14" s="1"/>
  <c r="A89" i="14" s="1"/>
  <c r="A90" i="14" s="1"/>
  <c r="A91" i="14" s="1"/>
  <c r="A92" i="14" s="1"/>
  <c r="A8" i="14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A47" i="14" s="1"/>
  <c r="A48" i="14" s="1"/>
  <c r="A49" i="14" s="1"/>
  <c r="A50" i="14" s="1"/>
  <c r="A51" i="14" s="1"/>
  <c r="A52" i="14" s="1"/>
  <c r="A53" i="14" s="1"/>
  <c r="A54" i="14" s="1"/>
  <c r="A55" i="14" s="1"/>
  <c r="A56" i="14" s="1"/>
  <c r="A57" i="14" s="1"/>
  <c r="A58" i="14" s="1"/>
  <c r="A59" i="14" s="1"/>
  <c r="A60" i="14" s="1"/>
  <c r="A61" i="14" s="1"/>
  <c r="A62" i="14" s="1"/>
  <c r="A63" i="14" s="1"/>
  <c r="A199" i="13" l="1"/>
  <c r="A79" i="13"/>
  <c r="A80" i="13" s="1"/>
  <c r="A81" i="13" s="1"/>
  <c r="A82" i="13" s="1"/>
  <c r="A83" i="13" s="1"/>
  <c r="A84" i="13" s="1"/>
  <c r="A85" i="13" s="1"/>
  <c r="A86" i="13" s="1"/>
  <c r="A87" i="13" s="1"/>
  <c r="A88" i="13" s="1"/>
  <c r="A4" i="13" l="1"/>
  <c r="A5" i="13" s="1"/>
  <c r="A6" i="13" s="1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198" i="12" l="1"/>
  <c r="A78" i="12"/>
  <c r="A79" i="12" s="1"/>
  <c r="A80" i="12" s="1"/>
  <c r="A81" i="12" s="1"/>
  <c r="A82" i="12" s="1"/>
  <c r="A83" i="12" s="1"/>
  <c r="A84" i="12" s="1"/>
  <c r="A85" i="12" s="1"/>
  <c r="A86" i="12" s="1"/>
  <c r="A87" i="12" s="1"/>
  <c r="A4" i="12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7" i="11" l="1"/>
  <c r="A78" i="11" s="1"/>
  <c r="A79" i="11" s="1"/>
  <c r="A80" i="11" s="1"/>
  <c r="A81" i="11" s="1"/>
  <c r="A82" i="11" s="1"/>
  <c r="A83" i="11" s="1"/>
  <c r="A84" i="11" s="1"/>
  <c r="A85" i="11" s="1"/>
  <c r="A86" i="11" s="1"/>
  <c r="A197" i="11" s="1"/>
  <c r="A4" i="11"/>
  <c r="A5" i="11" s="1"/>
  <c r="A6" i="11" s="1"/>
  <c r="A7" i="11" s="1"/>
  <c r="A8" i="11" s="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43" i="11" s="1"/>
  <c r="A44" i="11" s="1"/>
  <c r="A45" i="11" s="1"/>
  <c r="A46" i="11" s="1"/>
  <c r="A47" i="11" s="1"/>
  <c r="A48" i="11" s="1"/>
  <c r="A49" i="11" s="1"/>
  <c r="A50" i="11" s="1"/>
  <c r="A51" i="11" s="1"/>
  <c r="A52" i="11" s="1"/>
  <c r="A53" i="11" s="1"/>
  <c r="A54" i="11" s="1"/>
  <c r="A55" i="11" s="1"/>
  <c r="A56" i="11" s="1"/>
  <c r="A57" i="11" s="1"/>
  <c r="A58" i="11" s="1"/>
  <c r="A59" i="11" s="1"/>
  <c r="A60" i="11" s="1"/>
  <c r="A61" i="11" s="1"/>
  <c r="A62" i="11" s="1"/>
  <c r="A63" i="11" s="1"/>
  <c r="A64" i="11" s="1"/>
  <c r="A65" i="11" s="1"/>
  <c r="A66" i="11" s="1"/>
  <c r="A67" i="11" s="1"/>
  <c r="A68" i="11" s="1"/>
  <c r="A69" i="11" s="1"/>
  <c r="A70" i="11" s="1"/>
  <c r="A77" i="10" l="1"/>
  <c r="A78" i="10" s="1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A93" i="10" s="1"/>
  <c r="A94" i="10" s="1"/>
  <c r="A95" i="10" s="1"/>
  <c r="A96" i="10" s="1"/>
  <c r="A97" i="10" s="1"/>
  <c r="A98" i="10" s="1"/>
  <c r="A99" i="10" s="1"/>
  <c r="A100" i="10" s="1"/>
  <c r="A101" i="10" s="1"/>
  <c r="A102" i="10" s="1"/>
  <c r="A103" i="10" s="1"/>
  <c r="A104" i="10" s="1"/>
  <c r="A105" i="10" s="1"/>
  <c r="A106" i="10" s="1"/>
  <c r="A107" i="10" s="1"/>
  <c r="A108" i="10" s="1"/>
  <c r="A109" i="10" s="1"/>
  <c r="A110" i="10" s="1"/>
  <c r="A111" i="10" s="1"/>
  <c r="A112" i="10" s="1"/>
  <c r="A113" i="10" s="1"/>
  <c r="A114" i="10" s="1"/>
  <c r="A115" i="10" s="1"/>
  <c r="A116" i="10" s="1"/>
  <c r="A117" i="10" s="1"/>
  <c r="A118" i="10" s="1"/>
  <c r="A119" i="10" s="1"/>
  <c r="A120" i="10" s="1"/>
  <c r="A121" i="10" s="1"/>
  <c r="A122" i="10" s="1"/>
  <c r="A123" i="10" s="1"/>
  <c r="A124" i="10" s="1"/>
  <c r="A125" i="10" s="1"/>
  <c r="A126" i="10" s="1"/>
  <c r="A127" i="10" s="1"/>
  <c r="A128" i="10" s="1"/>
  <c r="A129" i="10" s="1"/>
  <c r="A130" i="10" s="1"/>
  <c r="A131" i="10" s="1"/>
  <c r="A132" i="10" s="1"/>
  <c r="A133" i="10" s="1"/>
  <c r="A134" i="10" s="1"/>
  <c r="A135" i="10" s="1"/>
  <c r="A136" i="10" s="1"/>
  <c r="A137" i="10" s="1"/>
  <c r="A138" i="10" s="1"/>
  <c r="A139" i="10" s="1"/>
  <c r="A140" i="10" s="1"/>
  <c r="A141" i="10" s="1"/>
  <c r="A142" i="10" s="1"/>
  <c r="A143" i="10" s="1"/>
  <c r="A144" i="10" s="1"/>
  <c r="A145" i="10" s="1"/>
  <c r="A146" i="10" s="1"/>
  <c r="A147" i="10" s="1"/>
  <c r="A148" i="10" s="1"/>
  <c r="A149" i="10" s="1"/>
  <c r="A150" i="10" s="1"/>
  <c r="A151" i="10" s="1"/>
  <c r="A152" i="10" s="1"/>
  <c r="A153" i="10" s="1"/>
  <c r="A154" i="10" s="1"/>
  <c r="A155" i="10" s="1"/>
  <c r="A156" i="10" s="1"/>
  <c r="A157" i="10" s="1"/>
  <c r="A158" i="10" s="1"/>
  <c r="A159" i="10" s="1"/>
  <c r="A160" i="10" s="1"/>
  <c r="A161" i="10" s="1"/>
  <c r="A162" i="10" s="1"/>
  <c r="A163" i="10" s="1"/>
  <c r="A164" i="10" s="1"/>
  <c r="A165" i="10" s="1"/>
  <c r="A166" i="10" s="1"/>
  <c r="A167" i="10" s="1"/>
  <c r="A168" i="10" s="1"/>
  <c r="A169" i="10" s="1"/>
  <c r="A170" i="10" s="1"/>
  <c r="A171" i="10" s="1"/>
  <c r="A172" i="10" s="1"/>
  <c r="A173" i="10" s="1"/>
  <c r="A174" i="10" s="1"/>
  <c r="A175" i="10" s="1"/>
  <c r="A176" i="10" s="1"/>
  <c r="A177" i="10" s="1"/>
  <c r="A178" i="10" s="1"/>
  <c r="A179" i="10" s="1"/>
  <c r="A180" i="10" s="1"/>
  <c r="A181" i="10" s="1"/>
  <c r="A182" i="10" s="1"/>
  <c r="A183" i="10" s="1"/>
  <c r="A184" i="10" s="1"/>
  <c r="A185" i="10" s="1"/>
  <c r="A186" i="10" s="1"/>
  <c r="A187" i="10" s="1"/>
  <c r="A188" i="10" s="1"/>
  <c r="A189" i="10" s="1"/>
  <c r="A190" i="10" s="1"/>
  <c r="A191" i="10" s="1"/>
  <c r="A192" i="10" s="1"/>
  <c r="A193" i="10" s="1"/>
  <c r="A194" i="10" s="1"/>
  <c r="A195" i="10" s="1"/>
  <c r="A4" i="10"/>
  <c r="A5" i="10" s="1"/>
  <c r="A6" i="10" s="1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A59" i="10" s="1"/>
  <c r="A60" i="10" s="1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7" i="9" l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A172" i="9" s="1"/>
  <c r="A173" i="9" s="1"/>
  <c r="A174" i="9" s="1"/>
  <c r="A175" i="9" s="1"/>
  <c r="A176" i="9" s="1"/>
  <c r="A177" i="9" s="1"/>
  <c r="A178" i="9" s="1"/>
  <c r="A179" i="9" s="1"/>
  <c r="A180" i="9" s="1"/>
  <c r="A181" i="9" s="1"/>
  <c r="A182" i="9" s="1"/>
  <c r="A183" i="9" s="1"/>
  <c r="A184" i="9" s="1"/>
  <c r="A185" i="9" s="1"/>
  <c r="A186" i="9" s="1"/>
  <c r="A187" i="9" s="1"/>
  <c r="A188" i="9" s="1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203" i="9" s="1"/>
  <c r="A204" i="9" s="1"/>
  <c r="A205" i="9" s="1"/>
  <c r="A207" i="9" s="1"/>
  <c r="A4" i="9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75" i="8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A201" i="8" s="1"/>
  <c r="A202" i="8" s="1"/>
  <c r="A203" i="8" s="1"/>
  <c r="A205" i="8" s="1"/>
  <c r="A4" i="8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204" i="8" s="1"/>
  <c r="A71" i="8" s="1"/>
  <c r="A72" i="8" s="1"/>
  <c r="A76" i="7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6" i="7" s="1"/>
  <c r="A5" i="7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205" i="7" s="1"/>
  <c r="A72" i="7" s="1"/>
  <c r="A73" i="7" s="1"/>
  <c r="A75" i="6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A201" i="6" s="1"/>
  <c r="A202" i="6" s="1"/>
  <c r="A203" i="6" s="1"/>
  <c r="A205" i="6" s="1"/>
  <c r="A8" i="6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204" i="6" s="1"/>
  <c r="A71" i="6" s="1"/>
  <c r="A72" i="6" s="1"/>
  <c r="A4" i="6"/>
  <c r="A5" i="6" s="1"/>
  <c r="A6" i="6" s="1"/>
  <c r="A7" i="6" s="1"/>
  <c r="A75" i="5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5" i="5" s="1"/>
  <c r="A4" i="5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204" i="5" s="1"/>
  <c r="A71" i="5" s="1"/>
  <c r="A72" i="5" s="1"/>
  <c r="A78" i="4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5" i="4" s="1"/>
  <c r="A75" i="4"/>
  <c r="A76" i="4" s="1"/>
  <c r="A77" i="4" s="1"/>
  <c r="A4" i="4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204" i="4" s="1"/>
  <c r="A71" i="4" s="1"/>
  <c r="A72" i="4" s="1"/>
  <c r="A75" i="3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5" i="3" s="1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204" i="3" s="1"/>
  <c r="A71" i="3" s="1"/>
  <c r="A72" i="3" s="1"/>
  <c r="A75" i="2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5" i="2" s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204" i="2" s="1"/>
  <c r="A71" i="2" s="1"/>
  <c r="A72" i="2" s="1"/>
  <c r="A36" i="9" l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2" i="9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204" i="1" s="1"/>
  <c r="A71" i="1" s="1"/>
  <c r="A72" i="1" s="1"/>
  <c r="A75" i="1" l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l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5" i="1" s="1"/>
  <c r="F174" i="12"/>
</calcChain>
</file>

<file path=xl/comments1.xml><?xml version="1.0" encoding="utf-8"?>
<comments xmlns="http://schemas.openxmlformats.org/spreadsheetml/2006/main">
  <authors>
    <author>Autor</author>
  </authors>
  <commentList>
    <comment ref="B3" authorId="0" shapeId="0">
      <text>
        <r>
          <rPr>
            <b/>
            <sz val="9"/>
            <color indexed="81"/>
            <rFont val="Tahoma"/>
            <family val="2"/>
          </rPr>
          <t>Autor:
SUBSIDIO</t>
        </r>
      </text>
    </comment>
    <comment ref="B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ENCARGADA RAQUEL RODRIGUEZ</t>
        </r>
      </text>
    </comment>
    <comment ref="B1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COLEGIO CAHE</t>
        </r>
      </text>
    </comment>
    <comment ref="B1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GIMNASIO CAHE</t>
        </r>
      </text>
    </comment>
    <comment ref="B11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IGLESIA EVANGELICA VILLA ALEGRE</t>
        </r>
      </text>
    </comment>
    <comment ref="B14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JUAN LUIS COFRE CERNA</t>
        </r>
      </text>
    </comment>
    <comment ref="B15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JUAN LUIS COFRE CERNA</t>
        </r>
      </text>
    </comment>
    <comment ref="B15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MARIA ALARCON</t>
        </r>
      </text>
    </comment>
    <comment ref="B15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JUAN MARCELO BASCUÑAN SOTO</t>
        </r>
      </text>
    </comment>
  </commentList>
</comments>
</file>

<file path=xl/comments2.xml><?xml version="1.0" encoding="utf-8"?>
<comments xmlns="http://schemas.openxmlformats.org/spreadsheetml/2006/main">
  <authors>
    <author>Autor</author>
  </authors>
  <commentList>
    <comment ref="B3" authorId="0" shapeId="0">
      <text>
        <r>
          <rPr>
            <b/>
            <sz val="9"/>
            <color indexed="81"/>
            <rFont val="Tahoma"/>
            <family val="2"/>
          </rPr>
          <t>Autor:
SUBSIDIO</t>
        </r>
      </text>
    </comment>
    <comment ref="B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ENCARGADA RAQUEL RODRIGUEZ</t>
        </r>
      </text>
    </comment>
    <comment ref="B1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COLEGIO CAHE</t>
        </r>
      </text>
    </comment>
    <comment ref="B1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GIMNASIO CAHE</t>
        </r>
      </text>
    </comment>
    <comment ref="B11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IGLESIA EVANGELICA VILLA ALEGRE</t>
        </r>
      </text>
    </comment>
    <comment ref="B14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JUAN LUIS COFRE CERNA</t>
        </r>
      </text>
    </comment>
    <comment ref="B15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JUAN LUIS COFRE CERNA</t>
        </r>
      </text>
    </comment>
    <comment ref="B15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MARIA ALARCON</t>
        </r>
      </text>
    </comment>
    <comment ref="B15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JUAN MARCELO BASCUÑAN SOTO</t>
        </r>
      </text>
    </comment>
  </commentList>
</comments>
</file>

<file path=xl/comments3.xml><?xml version="1.0" encoding="utf-8"?>
<comments xmlns="http://schemas.openxmlformats.org/spreadsheetml/2006/main">
  <authors>
    <author>Autor</author>
  </authors>
  <commentList>
    <comment ref="B3" authorId="0" shapeId="0">
      <text>
        <r>
          <rPr>
            <b/>
            <sz val="9"/>
            <color indexed="81"/>
            <rFont val="Tahoma"/>
            <family val="2"/>
          </rPr>
          <t>Autor:
SUBSIDIO</t>
        </r>
      </text>
    </comment>
    <comment ref="B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ENCARGADA RAQUEL RODRIGUEZ</t>
        </r>
      </text>
    </comment>
    <comment ref="B1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COLEGIO CAHE</t>
        </r>
      </text>
    </comment>
    <comment ref="B1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GIMNASIO CAHE</t>
        </r>
      </text>
    </comment>
    <comment ref="B11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IGLESIA EVANGELICA VILLA ALEGRE</t>
        </r>
      </text>
    </comment>
    <comment ref="B14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JUAN LUIS COFRE CERNA</t>
        </r>
      </text>
    </comment>
    <comment ref="B15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JUAN LUIS COFRE CERNA</t>
        </r>
      </text>
    </comment>
    <comment ref="B15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MARIA ALARCON</t>
        </r>
      </text>
    </comment>
    <comment ref="B15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JUAN MARCELO BASCUÑAN SOTO</t>
        </r>
      </text>
    </comment>
  </commentList>
</comments>
</file>

<file path=xl/comments4.xml><?xml version="1.0" encoding="utf-8"?>
<comments xmlns="http://schemas.openxmlformats.org/spreadsheetml/2006/main">
  <authors>
    <author>Autor</author>
  </authors>
  <commentList>
    <comment ref="B3" authorId="0" shapeId="0">
      <text>
        <r>
          <rPr>
            <b/>
            <sz val="9"/>
            <color indexed="81"/>
            <rFont val="Tahoma"/>
            <family val="2"/>
          </rPr>
          <t>Autor:
SUBSIDIO</t>
        </r>
      </text>
    </comment>
    <comment ref="B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ENCARGADA RAQUEL RODRIGUEZ</t>
        </r>
      </text>
    </comment>
    <comment ref="B1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COLEGIO CAHE</t>
        </r>
      </text>
    </comment>
    <comment ref="B1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GIMNASIO CAHE</t>
        </r>
      </text>
    </comment>
    <comment ref="B11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IGLESIA EVANGELICA VILLA ALEGRE</t>
        </r>
      </text>
    </comment>
    <comment ref="B14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JUAN LUIS COFRE CERNA</t>
        </r>
      </text>
    </comment>
    <comment ref="B15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JUAN LUIS COFRE CERNA</t>
        </r>
      </text>
    </comment>
    <comment ref="B15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MARIA ALARCON</t>
        </r>
      </text>
    </comment>
    <comment ref="B15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JUAN MARCELO BASCUÑAN SOTO</t>
        </r>
      </text>
    </comment>
  </commentList>
</comments>
</file>

<file path=xl/comments5.xml><?xml version="1.0" encoding="utf-8"?>
<comments xmlns="http://schemas.openxmlformats.org/spreadsheetml/2006/main">
  <authors>
    <author>Autor</author>
  </authors>
  <commentList>
    <comment ref="B3" authorId="0" shapeId="0">
      <text>
        <r>
          <rPr>
            <b/>
            <sz val="9"/>
            <color indexed="81"/>
            <rFont val="Tahoma"/>
            <family val="2"/>
          </rPr>
          <t>Autor:
SUBSIDIO</t>
        </r>
      </text>
    </comment>
    <comment ref="B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ENCARGADA RAQUEL RODRIGUEZ</t>
        </r>
      </text>
    </comment>
    <comment ref="B1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COLEGIO CAHE</t>
        </r>
      </text>
    </comment>
    <comment ref="B1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GIMNASIO CAHE</t>
        </r>
      </text>
    </comment>
    <comment ref="B11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IGLESIA EVANGELICA VILLA ALEGRE</t>
        </r>
      </text>
    </comment>
    <comment ref="B14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JUAN LUIS COFRE CERNA</t>
        </r>
      </text>
    </comment>
    <comment ref="B15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JUAN LUIS COFRE CERNA</t>
        </r>
      </text>
    </comment>
    <comment ref="B15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MARIA ALARCON</t>
        </r>
      </text>
    </comment>
    <comment ref="B15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JUAN MARCELO BASCUÑAN SOTO</t>
        </r>
      </text>
    </comment>
  </commentList>
</comments>
</file>

<file path=xl/comments6.xml><?xml version="1.0" encoding="utf-8"?>
<comments xmlns="http://schemas.openxmlformats.org/spreadsheetml/2006/main">
  <authors>
    <author>Autor</author>
  </authors>
  <commentList>
    <comment ref="B3" authorId="0" shapeId="0">
      <text>
        <r>
          <rPr>
            <b/>
            <sz val="9"/>
            <color indexed="81"/>
            <rFont val="Tahoma"/>
            <family val="2"/>
          </rPr>
          <t>Autor:
SUBSIDIO</t>
        </r>
      </text>
    </comment>
    <comment ref="B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ENCARGADA RAQUEL RODRIGUEZ</t>
        </r>
      </text>
    </comment>
    <comment ref="B1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COLEGIO CAHE</t>
        </r>
      </text>
    </comment>
    <comment ref="B1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GIMNASIO CAHE</t>
        </r>
      </text>
    </comment>
    <comment ref="B11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IGLESIA EVANGELICA VILLA ALEGRE</t>
        </r>
      </text>
    </comment>
    <comment ref="B14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JUAN LUIS COFRE CERNA</t>
        </r>
      </text>
    </comment>
    <comment ref="B15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JUAN LUIS COFRE CERNA</t>
        </r>
      </text>
    </comment>
    <comment ref="B15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MARIA ALARCON</t>
        </r>
      </text>
    </comment>
    <comment ref="B15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JUAN MARCELO BASCUÑAN SOTO</t>
        </r>
      </text>
    </comment>
  </commentList>
</comments>
</file>

<file path=xl/comments7.xml><?xml version="1.0" encoding="utf-8"?>
<comments xmlns="http://schemas.openxmlformats.org/spreadsheetml/2006/main">
  <authors>
    <author>Autor</author>
  </authors>
  <commentList>
    <comment ref="B3" authorId="0" shapeId="0">
      <text>
        <r>
          <rPr>
            <b/>
            <sz val="9"/>
            <color indexed="81"/>
            <rFont val="Tahoma"/>
            <family val="2"/>
          </rPr>
          <t>Autor:
SUBSIDIO</t>
        </r>
      </text>
    </comment>
    <comment ref="B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ENCARGADA RAQUEL RODRIGUEZ</t>
        </r>
      </text>
    </comment>
    <comment ref="B1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COLEGIO CAHE</t>
        </r>
      </text>
    </comment>
    <comment ref="B1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GIMNASIO CAHE</t>
        </r>
      </text>
    </comment>
    <comment ref="B11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IGLESIA EVANGELICA VILLA ALEGRE</t>
        </r>
      </text>
    </comment>
    <comment ref="B14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JUAN LUIS COFRE CERNA</t>
        </r>
      </text>
    </comment>
    <comment ref="B15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JUAN LUIS COFRE CERNA</t>
        </r>
      </text>
    </comment>
    <comment ref="B15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MARIA ALARCON</t>
        </r>
      </text>
    </comment>
    <comment ref="B15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JUAN MARCELO BASCUÑAN SOTO</t>
        </r>
      </text>
    </comment>
  </commentList>
</comments>
</file>

<file path=xl/comments8.xml><?xml version="1.0" encoding="utf-8"?>
<comments xmlns="http://schemas.openxmlformats.org/spreadsheetml/2006/main">
  <authors>
    <author>Autor</author>
  </authors>
  <commentList>
    <comment ref="B3" authorId="0" shapeId="0">
      <text>
        <r>
          <rPr>
            <b/>
            <sz val="9"/>
            <color indexed="81"/>
            <rFont val="Tahoma"/>
            <family val="2"/>
          </rPr>
          <t>Autor:
SUBSIDIO</t>
        </r>
      </text>
    </comment>
    <comment ref="B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ENCARGADA RAQUEL RODRIGUEZ</t>
        </r>
      </text>
    </comment>
    <comment ref="B1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COLEGIO CAHE</t>
        </r>
      </text>
    </comment>
    <comment ref="B1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GIMNASIO CAHE</t>
        </r>
      </text>
    </comment>
    <comment ref="B11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IGLESIA EVANGELICA VILLA ALEGRE</t>
        </r>
      </text>
    </comment>
    <comment ref="B14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JUAN LUIS COFRE CERNA</t>
        </r>
      </text>
    </comment>
    <comment ref="B15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JUAN LUIS COFRE CERNA</t>
        </r>
      </text>
    </comment>
    <comment ref="B15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MARIA ALARCON</t>
        </r>
      </text>
    </comment>
    <comment ref="B15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JUAN MARCELO BASCUÑAN SOTO</t>
        </r>
      </text>
    </comment>
  </commentList>
</comments>
</file>

<file path=xl/comments9.xml><?xml version="1.0" encoding="utf-8"?>
<comments xmlns="http://schemas.openxmlformats.org/spreadsheetml/2006/main">
  <authors>
    <author>Autor</author>
  </authors>
  <commentList>
    <comment ref="B3" authorId="0" shapeId="0">
      <text>
        <r>
          <rPr>
            <b/>
            <sz val="9"/>
            <color indexed="81"/>
            <rFont val="Tahoma"/>
            <family val="2"/>
          </rPr>
          <t>Autor:
SUBSIDIO</t>
        </r>
      </text>
    </comment>
    <comment ref="B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ENCARGADA RAQUEL RODRIGUEZ</t>
        </r>
      </text>
    </comment>
    <comment ref="J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30-10-2025</t>
        </r>
      </text>
    </comment>
    <comment ref="B1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COLEGIO CAHE</t>
        </r>
      </text>
    </comment>
    <comment ref="B1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GIMNASIO CAHE</t>
        </r>
      </text>
    </comment>
    <comment ref="B1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N° DE CONTACTO HUGO RIVERA JELDRES +56997762542</t>
        </r>
      </text>
    </comment>
    <comment ref="J1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30-10-2025</t>
        </r>
      </text>
    </comment>
    <comment ref="J2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30-10-2025</t>
        </r>
      </text>
    </comment>
    <comment ref="J2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30-10-2025</t>
        </r>
      </text>
    </comment>
    <comment ref="M2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 favor$4.000 para mes de octubre</t>
        </r>
      </text>
    </comment>
    <comment ref="J2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30-10-2025</t>
        </r>
      </text>
    </comment>
    <comment ref="J2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30-10-2025</t>
        </r>
      </text>
    </comment>
    <comment ref="J3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30-10-2025</t>
        </r>
      </text>
    </comment>
    <comment ref="J3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30-10-2025</t>
        </r>
      </text>
    </comment>
    <comment ref="J3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30-10-2025</t>
        </r>
      </text>
    </comment>
    <comment ref="B4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SUBSIDIO</t>
        </r>
      </text>
    </comment>
    <comment ref="B4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SUBSIDIO</t>
        </r>
      </text>
    </comment>
    <comment ref="B4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SUBSIDIO</t>
        </r>
      </text>
    </comment>
    <comment ref="J5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30-10-2025</t>
        </r>
      </text>
    </comment>
    <comment ref="J5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30-10-2025</t>
        </r>
      </text>
    </comment>
    <comment ref="M5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FIRMA CONVENIO DE PAGO EN 6 CUOTAS DE $10.100.- A PARTIR DE OCTUBRE</t>
        </r>
      </text>
    </comment>
    <comment ref="B6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PARQUE CIPRES II
CARGO FIJO $66.000.-</t>
        </r>
      </text>
    </comment>
    <comment ref="J6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 30-10-2025</t>
        </r>
      </text>
    </comment>
    <comment ref="J6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30-10-2025</t>
        </r>
      </text>
    </comment>
    <comment ref="B7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SUBSIDIO</t>
        </r>
      </text>
    </comment>
    <comment ref="J8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CUOTA DE $5.000 POR INCORPORACIÓN</t>
        </r>
      </text>
    </comment>
    <comment ref="J8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30-10-2025</t>
        </r>
      </text>
    </comment>
    <comment ref="B9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SUBSIDIO</t>
        </r>
      </text>
    </comment>
    <comment ref="B10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SUBSIDIO
</t>
        </r>
      </text>
    </comment>
    <comment ref="B10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SUBSIDIO</t>
        </r>
      </text>
    </comment>
    <comment ref="J11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30-10-2025</t>
        </r>
      </text>
    </comment>
    <comment ref="B11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IGLESIA EVANGELICA VILLA ALEGRE</t>
        </r>
      </text>
    </comment>
    <comment ref="B11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N° CONTACTO 982279000</t>
        </r>
      </text>
    </comment>
    <comment ref="B12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SUBSIDIO</t>
        </r>
      </text>
    </comment>
    <comment ref="J13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30-10-2025</t>
        </r>
      </text>
    </comment>
    <comment ref="B13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2 estanque de 1.000 lts, c/u</t>
        </r>
      </text>
    </comment>
    <comment ref="J13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$91.000 por 1 estanque de 1.000 lts.</t>
        </r>
      </text>
    </comment>
    <comment ref="J14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30-10-2025
</t>
        </r>
      </text>
    </comment>
    <comment ref="B14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SUBSIDIO</t>
        </r>
      </text>
    </comment>
    <comment ref="J14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30-10-2025</t>
        </r>
      </text>
    </comment>
    <comment ref="B15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JUAN LUIS COFRE CERNA</t>
        </r>
      </text>
    </comment>
    <comment ref="B15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JUAN LUIS COFRE CERNA</t>
        </r>
      </text>
    </comment>
    <comment ref="B15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MARIA ALARCON</t>
        </r>
      </text>
    </comment>
    <comment ref="J15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30-10-2025</t>
        </r>
      </text>
    </comment>
    <comment ref="J15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30-10-2025</t>
        </r>
      </text>
    </comment>
    <comment ref="B15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JUAN MARCELO BASCUÑAN SOTO</t>
        </r>
      </text>
    </comment>
    <comment ref="J15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30-10-2025</t>
        </r>
      </text>
    </comment>
    <comment ref="J16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30-10-2025</t>
        </r>
      </text>
    </comment>
    <comment ref="M16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saldo a favor de $2.100 para el mes de octubre</t>
        </r>
      </text>
    </comment>
    <comment ref="J17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30-10-2025</t>
        </r>
      </text>
    </comment>
    <comment ref="J18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30-10-2025</t>
        </r>
      </text>
    </comment>
    <comment ref="J18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30-10-2025</t>
        </r>
      </text>
    </comment>
    <comment ref="M18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$6.800 a favor para mes de octubre</t>
        </r>
      </text>
    </comment>
    <comment ref="J19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30-10-2025</t>
        </r>
      </text>
    </comment>
  </commentList>
</comments>
</file>

<file path=xl/comments10.xml><?xml version="1.0" encoding="utf-8"?>
<comments xmlns="http://schemas.openxmlformats.org/spreadsheetml/2006/main">
  <authors>
    <author>Autor</author>
  </authors>
  <commentList>
    <comment ref="B3" authorId="0" shapeId="0">
      <text>
        <r>
          <rPr>
            <b/>
            <sz val="9"/>
            <color indexed="81"/>
            <rFont val="Tahoma"/>
            <family val="2"/>
          </rPr>
          <t>Autor:
SUBSIDIO</t>
        </r>
      </text>
    </comment>
    <comment ref="J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30-11-2025</t>
        </r>
      </text>
    </comment>
    <comment ref="B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ENCARGADA RAQUEL RODRIGUEZ</t>
        </r>
      </text>
    </comment>
    <comment ref="H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30-10-2025</t>
        </r>
      </text>
    </comment>
    <comment ref="B1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COLEGIO CAHE</t>
        </r>
      </text>
    </comment>
    <comment ref="B1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GIMNASIO CAHE</t>
        </r>
      </text>
    </comment>
    <comment ref="B1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N° DE CONTACTO HUGO RIVERA JELDRES +56997762542</t>
        </r>
      </text>
    </comment>
    <comment ref="H1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30-10-2025</t>
        </r>
      </text>
    </comment>
    <comment ref="H1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30-10-2025</t>
        </r>
      </text>
    </comment>
    <comment ref="H2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30-10-2025</t>
        </r>
      </text>
    </comment>
    <comment ref="H2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30-10-2025</t>
        </r>
      </text>
    </comment>
    <comment ref="M2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con corte para el 30-10 
(portón cerrado co llave)</t>
        </r>
      </text>
    </comment>
    <comment ref="B2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SUBSIDIO</t>
        </r>
      </text>
    </comment>
    <comment ref="H2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 favor$4.000 para mes de octubre</t>
        </r>
      </text>
    </comment>
    <comment ref="B2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Convenio de pago, 11 cuotas de $10.690 y 1 de $10.610(la última)</t>
        </r>
      </text>
    </comment>
    <comment ref="H2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30-10-2025</t>
        </r>
      </text>
    </comment>
    <comment ref="J2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Convenio dev pago, 1° cuota de 12 de $10.690.-</t>
        </r>
      </text>
    </comment>
    <comment ref="M2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Convenio de pago, 2° cuota de 12</t>
        </r>
      </text>
    </comment>
    <comment ref="H2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30-10-2025</t>
        </r>
      </text>
    </comment>
    <comment ref="H3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30-10-2025</t>
        </r>
      </text>
    </comment>
    <comment ref="B3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 estanque de 2.000 lts</t>
        </r>
      </text>
    </comment>
    <comment ref="J3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30-11-2025</t>
        </r>
      </text>
    </comment>
    <comment ref="H3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30-10-2025</t>
        </r>
      </text>
    </comment>
    <comment ref="J3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30-11-2025</t>
        </r>
      </text>
    </comment>
    <comment ref="K3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$42.900 2° cuota de 2 de estanque de 1.000 lts.</t>
        </r>
      </text>
    </comment>
    <comment ref="B38" authorId="0" shapeId="0">
      <text>
        <r>
          <rPr>
            <b/>
            <sz val="9"/>
            <color indexed="81"/>
            <rFont val="Tahoma"/>
            <family val="2"/>
          </rPr>
          <t xml:space="preserve">Autor:
SUBSIDIO
</t>
        </r>
        <r>
          <rPr>
            <sz val="9"/>
            <color indexed="81"/>
            <rFont val="Tahoma"/>
            <family val="2"/>
          </rPr>
          <t>1 estanque de 1.000 lts.
En 12 cuotas de $7.590
1 estanque de 2.000(cobro aparte)</t>
        </r>
      </text>
    </comment>
    <comment ref="M3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$7.590, 1° cuota de 12 de estanque 1.000 lts.+ 1° cuota de 6 de estanque de 2.000 lts.</t>
        </r>
      </text>
    </comment>
    <comment ref="H3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30-10-2025</t>
        </r>
      </text>
    </comment>
    <comment ref="B4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SUBSIDIO</t>
        </r>
      </text>
    </comment>
    <comment ref="J4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 favor saldo de $2.150 del mes pasado</t>
        </r>
      </text>
    </comment>
    <comment ref="B4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SUBSIDIO FIDEL QUEZADA RIQUELME</t>
        </r>
      </text>
    </comment>
    <comment ref="B4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 estanque de 1.000 lts.
12 cuotas de $9.100</t>
        </r>
      </text>
    </comment>
    <comment ref="J4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DEBE $5.000 POR FLETE ESTANQUE 1.000 LTS.</t>
        </r>
      </text>
    </comment>
    <comment ref="M4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$9.100 1° cuota de 10 de estanque de 1.000 lts.</t>
        </r>
      </text>
    </comment>
    <comment ref="B4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SUBSIDIO MARISOL QUESADA QUIROZ</t>
        </r>
      </text>
    </comment>
    <comment ref="H5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30-10-2025</t>
        </r>
      </text>
    </comment>
    <comment ref="K5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$30.000 por corte y reposición </t>
        </r>
      </text>
    </comment>
    <comment ref="B5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Convenio de pago 6 cuotas de $10.100 c/u</t>
        </r>
      </text>
    </comment>
    <comment ref="J54" authorId="0" shapeId="0">
      <text>
        <r>
          <rPr>
            <b/>
            <sz val="9"/>
            <color indexed="81"/>
            <rFont val="Tahoma"/>
            <family val="2"/>
          </rPr>
          <t>CUOTA 01 DE 6 DE CONVENIO DE PAGO
$10.100</t>
        </r>
      </text>
    </comment>
    <comment ref="M5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30-12.2025 por no pago de 1° cuota de convenio</t>
        </r>
      </text>
    </comment>
    <comment ref="B5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2 estanques de 2.000 c/u </t>
        </r>
      </text>
    </comment>
    <comment ref="K5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$79.990, 2° cuota de 4 de 2 estanques de 2.000 lts</t>
        </r>
      </text>
    </comment>
    <comment ref="M5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$79.990, 3° cuota de 4 de 2 estanques de $2.000</t>
        </r>
      </text>
    </comment>
    <comment ref="B6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Convenio estanque 6 cuotas de $26.700 c/u</t>
        </r>
      </text>
    </comment>
    <comment ref="J6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1° cuota estanque $27.000</t>
        </r>
      </text>
    </comment>
    <comment ref="B6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PARQUE CIPRES II
CARGO FIJO $99.000.- por 33 remarcadores</t>
        </r>
      </text>
    </comment>
    <comment ref="H6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30-10-2025</t>
        </r>
      </text>
    </comment>
    <comment ref="M6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suministro cortado por morosidad</t>
        </r>
      </text>
    </comment>
    <comment ref="H6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30-10-2025</t>
        </r>
      </text>
    </comment>
    <comment ref="J6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30-11-2025</t>
        </r>
      </text>
    </comment>
    <comment ref="M6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30-11</t>
        </r>
      </text>
    </comment>
    <comment ref="B7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SUBSIDIO CARLOS RIFFO CABEZAS</t>
        </r>
      </text>
    </comment>
    <comment ref="B7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 estanque de 1.300 lts.</t>
        </r>
      </text>
    </comment>
    <comment ref="J7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DEBE $5.000 POE FLETE ESTANQUE DE 1.300 LTS. 
</t>
        </r>
        <r>
          <rPr>
            <b/>
            <sz val="9"/>
            <color indexed="81"/>
            <rFont val="Tahoma"/>
            <family val="2"/>
          </rPr>
          <t>AVISO DE CORTE PARA EL 30-11-2025</t>
        </r>
      </text>
    </comment>
    <comment ref="J7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30-11-2025</t>
        </r>
      </text>
    </comment>
    <comment ref="B8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 ESTANQUE DE 3.400 LTS.
9 cuotas de $29.110.-
1 cuota de $29.070.-</t>
        </r>
      </text>
    </comment>
    <comment ref="M8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1° cuota de 10 de estanque $29.110.-</t>
        </r>
      </text>
    </comment>
    <comment ref="J8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CONVENIO $5.000 POR INCORPORACIÓN</t>
        </r>
      </text>
    </comment>
    <comment ref="J8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30-11-2025</t>
        </r>
      </text>
    </comment>
    <comment ref="B8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Convenio 1 estanque 1.000 lts. 6 cuotas de $15.170 c/u</t>
        </r>
      </text>
    </comment>
    <comment ref="J8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$15.170 por 1° cuota de 6,de estanque 1.000 lts. </t>
        </r>
      </text>
    </comment>
    <comment ref="M8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2° cuota de 6 de estanque 1.000 lts.</t>
        </r>
      </text>
    </comment>
    <comment ref="B8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1.000 lts.</t>
        </r>
      </text>
    </comment>
    <comment ref="H8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30-10-2025</t>
        </r>
      </text>
    </comment>
    <comment ref="B8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 estanque de 1.000 lts.
En 4 cuotas de $22.750.-</t>
        </r>
      </text>
    </comment>
    <comment ref="M8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$22.750, 1° cuota de 4 de estanque de 1.000 lts.</t>
        </r>
      </text>
    </comment>
    <comment ref="J8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30-11-2025</t>
        </r>
      </text>
    </comment>
    <comment ref="B9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Convenio estanque 4 cuotas de $28.000 c/u</t>
        </r>
      </text>
    </comment>
    <comment ref="J9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1° cuotade de 4 de $28.000 por compra de estanque</t>
        </r>
      </text>
    </comment>
    <comment ref="M9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2° cuota de 4 de $28.000 por compra de estanque</t>
        </r>
      </text>
    </comment>
    <comment ref="B9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 estanque de 2.000 lts.
En 12 cuotas de $13.340.-</t>
        </r>
      </text>
    </comment>
    <comment ref="M9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$13.340, 1° cuota de 12 de estanque de 2.000 lts.</t>
        </r>
      </text>
    </comment>
    <comment ref="B9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 estanque de 1.300 lts. En 10 cuotas de $11.200</t>
        </r>
      </text>
    </comment>
    <comment ref="M9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1° cuota de 10 de estanque $11.200.-</t>
        </r>
      </text>
    </comment>
    <comment ref="B9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SUBSIDIO</t>
        </r>
      </text>
    </comment>
    <comment ref="B100" authorId="0" shapeId="0">
      <text>
        <r>
          <rPr>
            <b/>
            <u/>
            <sz val="11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SUBSIDIO</t>
        </r>
        <r>
          <rPr>
            <sz val="9"/>
            <color indexed="81"/>
            <rFont val="Tahoma"/>
            <family val="2"/>
          </rPr>
          <t xml:space="preserve">
1 estanque de 2.000 lts.</t>
        </r>
      </text>
    </comment>
    <comment ref="B108" authorId="0" shapeId="0">
      <text>
        <r>
          <rPr>
            <b/>
            <u/>
            <sz val="11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SUBSIDIO</t>
        </r>
        <r>
          <rPr>
            <sz val="9"/>
            <color indexed="81"/>
            <rFont val="Tahoma"/>
            <family val="2"/>
          </rPr>
          <t xml:space="preserve">
1 estanque de 2.000 lts.</t>
        </r>
      </text>
    </comment>
    <comment ref="J11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COERTE PARA EL 30-11-2025</t>
        </r>
      </text>
    </comment>
    <comment ref="B11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 estanque de 1.300 lts.</t>
        </r>
      </text>
    </comment>
    <comment ref="B11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SUBSIDIO</t>
        </r>
      </text>
    </comment>
    <comment ref="H11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30-10-2025</t>
        </r>
      </text>
    </comment>
    <comment ref="B11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IGLESIA EVANGELICA VILLA ALEGRE</t>
        </r>
      </text>
    </comment>
    <comment ref="B11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 estanque de 1.000 lts.</t>
        </r>
      </text>
    </comment>
    <comment ref="B11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N° CONTACTO 982279000</t>
        </r>
      </text>
    </comment>
    <comment ref="B12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 estanque de 1.000 lts
12 cuotas de $7.590</t>
        </r>
      </text>
    </comment>
    <comment ref="M12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$7.590, 1° cuota de 12 de estanque de 1.000 lts</t>
        </r>
      </text>
    </comment>
    <comment ref="B122" authorId="0" shapeId="0">
      <text>
        <r>
          <rPr>
            <b/>
            <u/>
            <sz val="11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 xml:space="preserve">SUBSIDIO JUANA VILLAGRAN AVILA
</t>
        </r>
        <r>
          <rPr>
            <sz val="8"/>
            <color indexed="81"/>
            <rFont val="Tahoma"/>
            <family val="2"/>
          </rPr>
          <t>1 estanque de 1.300 lts.</t>
        </r>
      </text>
    </comment>
    <comment ref="B12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SUBSIDIO ROSA AVILA MUÑOZ</t>
        </r>
      </text>
    </comment>
    <comment ref="J12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30-11-2025</t>
        </r>
      </text>
    </comment>
    <comment ref="J13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30-11-2025</t>
        </r>
      </text>
    </comment>
    <comment ref="H13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30-10-2025</t>
        </r>
      </text>
    </comment>
    <comment ref="B13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2 estanques de 1.000 lts. c/u</t>
        </r>
      </text>
    </comment>
    <comment ref="H14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30-10-2025</t>
        </r>
      </text>
    </comment>
    <comment ref="B142" authorId="0" shapeId="0">
      <text>
        <r>
          <rPr>
            <b/>
            <u/>
            <sz val="8"/>
            <color indexed="81"/>
            <rFont val="Tahoma"/>
            <family val="2"/>
          </rPr>
          <t>Autor:</t>
        </r>
        <r>
          <rPr>
            <sz val="8"/>
            <color indexed="81"/>
            <rFont val="Tahoma"/>
            <family val="2"/>
          </rPr>
          <t xml:space="preserve">
SUBSIDIO  JOSE ROSALINO SANDOVAL CASTILLO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2 estanques 1.000 lts.
4 CUOTAS DE $22.750
3 CUOTAS DE $30.340</t>
        </r>
      </text>
    </comment>
    <comment ref="M14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1° DE 4 CUOTAS ESTANQUE $22.750
1° DE 3 CUOTAS ESTANQUE $30.340</t>
        </r>
      </text>
    </comment>
    <comment ref="B14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 estanque de 2.000 lts.</t>
        </r>
      </text>
    </comment>
    <comment ref="B14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 estanque de 2.000 lts.</t>
        </r>
      </text>
    </comment>
    <comment ref="J14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30-11-2025</t>
        </r>
      </text>
    </comment>
    <comment ref="B151" authorId="0" shapeId="0">
      <text>
        <r>
          <rPr>
            <b/>
            <u/>
            <sz val="10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JUAN LUIS COFRE CERNA</t>
        </r>
        <r>
          <rPr>
            <sz val="9"/>
            <color indexed="81"/>
            <rFont val="Tahoma"/>
            <family val="2"/>
          </rPr>
          <t xml:space="preserve">
1 estanque de 2.000 lts.
En 12 cuotas de $13.340</t>
        </r>
      </text>
    </comment>
    <comment ref="J15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30-11-2025</t>
        </r>
      </text>
    </comment>
    <comment ref="M15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$13.340, 1° cuota de 12 de estanque de 2.000 lts.</t>
        </r>
      </text>
    </comment>
    <comment ref="B15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JUAN LUIS COFRE CERNA</t>
        </r>
      </text>
    </comment>
    <comment ref="J15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CORTEN PARA EL 30-11-2025</t>
        </r>
      </text>
    </comment>
    <comment ref="B15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MARIA ALARCON</t>
        </r>
      </text>
    </comment>
    <comment ref="H15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30-10-2025</t>
        </r>
      </text>
    </comment>
    <comment ref="J15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30-11-2025</t>
        </r>
      </text>
    </comment>
    <comment ref="H15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30-10-2025</t>
        </r>
      </text>
    </comment>
    <comment ref="B15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JUAN MARCELO BASCUÑAN SOTO</t>
        </r>
      </text>
    </comment>
    <comment ref="B15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 estanque de 2.000 lts.</t>
        </r>
      </text>
    </comment>
    <comment ref="H15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30-10-2025</t>
        </r>
      </text>
    </comment>
    <comment ref="B15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2 estanques de 1.300 lts c/u</t>
        </r>
      </text>
    </comment>
    <comment ref="J15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30-11-2025</t>
        </r>
      </text>
    </comment>
    <comment ref="B16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2 estanques 
-1 de 3.500 lts.
-1 de 2.000 lts.
</t>
        </r>
      </text>
    </comment>
    <comment ref="M16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$1.900 A FAVOR PARA NOVIEMBRE</t>
        </r>
      </text>
    </comment>
    <comment ref="H16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30-10-2025</t>
        </r>
      </text>
    </comment>
    <comment ref="B16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 Estanque de 2.000 lts.</t>
        </r>
      </text>
    </comment>
    <comment ref="H16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saldo a favor de $2.100 para el mes de octubre</t>
        </r>
      </text>
    </comment>
    <comment ref="J16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30-11-2025</t>
        </r>
      </text>
    </comment>
    <comment ref="J16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30-11-2025</t>
        </r>
      </text>
    </comment>
    <comment ref="J16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30-11-2025</t>
        </r>
      </text>
    </comment>
    <comment ref="J17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30-11-2025</t>
        </r>
      </text>
    </comment>
    <comment ref="H17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30-10-2025</t>
        </r>
      </text>
    </comment>
    <comment ref="B17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 estanque de 2.000 lts.
En 6 cuotas de $26.670.-</t>
        </r>
      </text>
    </comment>
    <comment ref="M17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$26.670, 1° cuota de 6 de estanque de 2.000 lts.</t>
        </r>
      </text>
    </comment>
    <comment ref="B17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 estanque de 2.000 lts en 6 cuotas de $26.670</t>
        </r>
      </text>
    </comment>
    <comment ref="M17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$26.670, 1° cuota de 6 de estanque de 2.000 lts.</t>
        </r>
      </text>
    </comment>
    <comment ref="B18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Convenio por 1 estanque de 1.000 lts.
12 cuotas de $7.590 c/u</t>
        </r>
      </text>
    </comment>
    <comment ref="J18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$7.590, POR 1 CUOTA DE 12 DE 1 ESTANQUE 1.000 LTS. </t>
        </r>
      </text>
    </comment>
    <comment ref="M18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2° cuota de 12 de estanque 1.000 lts.</t>
        </r>
      </text>
    </comment>
    <comment ref="H18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30-10-2025</t>
        </r>
      </text>
    </comment>
    <comment ref="H18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$6.800 saldo a favor para el mes de octubre</t>
        </r>
      </text>
    </comment>
    <comment ref="H19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30-10-2025</t>
        </r>
      </text>
    </comment>
  </commentList>
</comments>
</file>

<file path=xl/comments11.xml><?xml version="1.0" encoding="utf-8"?>
<comments xmlns="http://schemas.openxmlformats.org/spreadsheetml/2006/main">
  <authors>
    <author>Autor</author>
  </authors>
  <commentList>
    <comment ref="B3" authorId="0" shapeId="0">
      <text>
        <r>
          <rPr>
            <b/>
            <sz val="9"/>
            <color indexed="81"/>
            <rFont val="Tahoma"/>
            <family val="2"/>
          </rPr>
          <t>Autor:
SUBSIDIO</t>
        </r>
      </text>
    </comment>
    <comment ref="B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ENCARGADA RAQUEL RODRIGUEZ</t>
        </r>
      </text>
    </comment>
    <comment ref="B1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COLEGIO CAHE</t>
        </r>
      </text>
    </comment>
    <comment ref="B1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GIMNASIO CAHE</t>
        </r>
      </text>
    </comment>
    <comment ref="B1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N° DE CONTACTO HUGO RIVERA JELDRES +56997762542</t>
        </r>
      </text>
    </comment>
    <comment ref="B2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1° cuota de 12 de $7.590 por estanque de 1.000 lts.</t>
        </r>
      </text>
    </comment>
    <comment ref="J2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1° cuota de 12 de $7.590 de estanque de 1.000 lts.</t>
        </r>
      </text>
    </comment>
    <comment ref="M2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2° cuota de 12 de $7.590 por estanque de 1.000 lts.</t>
        </r>
      </text>
    </comment>
    <comment ref="H2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con corte para el 30-10 
(portón cerrado co llave)</t>
        </r>
      </text>
    </comment>
    <comment ref="B2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SUBSIDIO
Convenio estanque 11 cuotas de $7.580 c/u y la cuota 12 de $7.620</t>
        </r>
      </text>
    </comment>
    <comment ref="M2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$7.580 1° de 12 cuotas por convenio estanque</t>
        </r>
      </text>
    </comment>
    <comment ref="B2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Convenio de pago, 11 cuotas de $10.690 y 1 de $10.610(la última)</t>
        </r>
      </text>
    </comment>
    <comment ref="H2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Convenio de pago, 2° cuota de 12</t>
        </r>
      </text>
    </comment>
    <comment ref="M2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3° cuota de 12 de convenio por morosidad $10.690
notificación de corte para el 30-01  por no pago de 2° cuota de convenio </t>
        </r>
      </text>
    </comment>
    <comment ref="H2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corte programado para el 30-12</t>
        </r>
      </text>
    </comment>
    <comment ref="M2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30-01-2026</t>
        </r>
      </text>
    </comment>
    <comment ref="B3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 estanque de 2.000 lts</t>
        </r>
      </text>
    </comment>
    <comment ref="B3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convenio estanque 2.000 lts. En 10 cuotas de $16.000 c/u</t>
        </r>
      </text>
    </comment>
    <comment ref="M3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$16.000.- 1° cuota de 10 de estanque 2.000 lts.</t>
        </r>
      </text>
    </comment>
    <comment ref="M3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30-01-2026</t>
        </r>
      </text>
    </comment>
    <comment ref="B38" authorId="0" shapeId="0">
      <text>
        <r>
          <rPr>
            <b/>
            <sz val="9"/>
            <color indexed="81"/>
            <rFont val="Tahoma"/>
            <family val="2"/>
          </rPr>
          <t xml:space="preserve">Autor:
SUBSIDIO
</t>
        </r>
        <r>
          <rPr>
            <sz val="9"/>
            <color indexed="81"/>
            <rFont val="Tahoma"/>
            <family val="2"/>
          </rPr>
          <t>1 estanque de 1.000 lts.
En 12 cuotas de $7.590
1 estanque de 2.000(cobro aparte)</t>
        </r>
      </text>
    </comment>
    <comment ref="H3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$7.590, 1° cuota de 12 de estanque 1.000 lts.+ 1° cuota de 6 de estanque de 2.000 lts.</t>
        </r>
      </text>
    </comment>
    <comment ref="B4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SUBSIDIO</t>
        </r>
      </text>
    </comment>
    <comment ref="B4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SUBSIDIO FIDEL QUEZADA RIQUELME</t>
        </r>
      </text>
    </comment>
    <comment ref="B4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 estanque de 1.000 lts.
12 cuotas de $9.100</t>
        </r>
      </text>
    </comment>
    <comment ref="H4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$9.100 1° cuota de 10 de estanque de 1.000 lts.</t>
        </r>
      </text>
    </comment>
    <comment ref="B4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SUBSIDIO MARISOL QUESADA QUIROZ</t>
        </r>
      </text>
    </comment>
    <comment ref="B5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Convenio de pago 6 cuotas de $10.100 c/u</t>
        </r>
      </text>
    </comment>
    <comment ref="H5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30-12.2025 por no pago de 1° cuota de convenio</t>
        </r>
      </text>
    </comment>
    <comment ref="J5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2° CUOTA DE 6 DE CONVENIO POR MOROSIDAD $10.100</t>
        </r>
      </text>
    </comment>
    <comment ref="M5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$13.340 1° cuota de 12 de estanque de 2.000 lts.
$10.100 3° cuota de convenio por morosidad
aviso de corte por no pago de 2° cuota de convenio ni 1° cuota de estanque</t>
        </r>
      </text>
    </comment>
    <comment ref="B5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2 estanques de 2.000 c/u </t>
        </r>
      </text>
    </comment>
    <comment ref="H5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$79.990, 3° cuota de 4 de 2 estanques de $2.000</t>
        </r>
      </text>
    </comment>
    <comment ref="J5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3° cuota estanque $16.000</t>
        </r>
      </text>
    </comment>
    <comment ref="B6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Convenio estanque 6 cuotas de $26.700 c/u</t>
        </r>
      </text>
    </comment>
    <comment ref="B6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PARQUE CIPRES II
CARGO FIJO $99.000.- por 33 remarcadores</t>
        </r>
      </text>
    </comment>
    <comment ref="H64" authorId="0" shapeId="0">
      <text>
        <r>
          <rPr>
            <b/>
            <sz val="9"/>
            <color indexed="81"/>
            <rFont val="Tahoma"/>
            <family val="2"/>
          </rPr>
          <t>Suministro cortado</t>
        </r>
      </text>
    </comment>
    <comment ref="H6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30-11</t>
        </r>
      </text>
    </comment>
    <comment ref="B7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SUBSIDIO CARLOS RIFFO CABEZAS</t>
        </r>
      </text>
    </comment>
    <comment ref="J7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1° cuota de 4 de estanque de 1.000 ltsd. $22.750</t>
        </r>
      </text>
    </comment>
    <comment ref="M7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1° cuota de 4 de estanque de 1.000 lts. $22.750</t>
        </r>
      </text>
    </comment>
    <comment ref="B7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 estanque de 1.300 lts.</t>
        </r>
      </text>
    </comment>
    <comment ref="B8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 ESTANQUE DE 3.400 LTS.
9 cuotas de $29.110.-
1 cuota de $29.070.-</t>
        </r>
      </text>
    </comment>
    <comment ref="H8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1° cuota de 10 de estanque $29.110.-</t>
        </r>
      </text>
    </comment>
    <comment ref="M8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 favor $890</t>
        </r>
      </text>
    </comment>
    <comment ref="B8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Convenio 1 estanque 1.000 lts. 6 cuotas de $15.170 c/u</t>
        </r>
      </text>
    </comment>
    <comment ref="H8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2° cuota de 6 de estanque 1.000 lts.</t>
        </r>
      </text>
    </comment>
    <comment ref="B8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1.000 lts.</t>
        </r>
      </text>
    </comment>
    <comment ref="J8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$18.200 1° cuota de 5 de estanque</t>
        </r>
      </text>
    </comment>
    <comment ref="B8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 estanque de 1.000 lts.
En 4 cuotas de $22.750.-</t>
        </r>
      </text>
    </comment>
    <comment ref="H8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$22.750, 1° cuota de 4 de estanque de 1.000 lts.</t>
        </r>
      </text>
    </comment>
    <comment ref="B9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 estanque de 2.000 lts. En 5 cuotas</t>
        </r>
      </text>
    </comment>
    <comment ref="J9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CUOTA INCORPORACION
1 ° y 2°DE 5 $50.000 c/u +  $13.340 por 1° cuota de 12 de estanque de 2.000 lts.</t>
        </r>
      </text>
    </comment>
    <comment ref="J9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CORTE
30/11/25</t>
        </r>
      </text>
    </comment>
    <comment ref="B9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Convenio estanque 4 cuotas de $28.000 c/u</t>
        </r>
      </text>
    </comment>
    <comment ref="H9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2° cuota de 4 de $28.000 por compra de estanque</t>
        </r>
      </text>
    </comment>
    <comment ref="M9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3° cuota de 4 de estanque</t>
        </r>
      </text>
    </comment>
    <comment ref="J9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AFECTA CORTE 
30 DE DICIEMBRE</t>
        </r>
      </text>
    </comment>
    <comment ref="B9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 estanque de 2.000 lts.
En 12 cuotas de $13.340.-</t>
        </r>
      </text>
    </comment>
    <comment ref="H9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$13.340, 1° cuota de 12 de estanque de 2.000 lts.</t>
        </r>
      </text>
    </comment>
    <comment ref="M9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2° cuota de 12 $13.340 por estanque 
aviso de corte para el 30-01-2026</t>
        </r>
      </text>
    </comment>
    <comment ref="B9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 estanque de 1.300 lts. En 10 cuotas de $11.200</t>
        </r>
      </text>
    </comment>
    <comment ref="M9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1° cuota de 10 $11.200 por estanque</t>
        </r>
      </text>
    </comment>
    <comment ref="B10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SUBSIDIO</t>
        </r>
      </text>
    </comment>
    <comment ref="B102" authorId="0" shapeId="0">
      <text>
        <r>
          <rPr>
            <b/>
            <u/>
            <sz val="11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SUBSIDIO</t>
        </r>
        <r>
          <rPr>
            <sz val="9"/>
            <color indexed="81"/>
            <rFont val="Tahoma"/>
            <family val="2"/>
          </rPr>
          <t xml:space="preserve">
1 estanque de 2.000 lts.</t>
        </r>
      </text>
    </comment>
    <comment ref="J10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AFECTA A CORTE 
30 DE DICIEMBRE 25</t>
        </r>
      </text>
    </comment>
    <comment ref="B110" authorId="0" shapeId="0">
      <text>
        <r>
          <rPr>
            <b/>
            <u/>
            <sz val="11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SUBSIDIO</t>
        </r>
        <r>
          <rPr>
            <sz val="9"/>
            <color indexed="81"/>
            <rFont val="Tahoma"/>
            <family val="2"/>
          </rPr>
          <t xml:space="preserve">
1 estanque de 2.000 lts.</t>
        </r>
      </text>
    </comment>
    <comment ref="J11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1° cuota de 8 de estanque $20.000</t>
        </r>
      </text>
    </comment>
    <comment ref="M11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2° cuota de 8 de estanque $20.000</t>
        </r>
      </text>
    </comment>
    <comment ref="B11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 estanque de 1.300 lts.</t>
        </r>
      </text>
    </comment>
    <comment ref="J11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1° cujota de 12 de estanque de 1.300 lts. $9.820</t>
        </r>
      </text>
    </comment>
    <comment ref="M11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2° cuota de 12 de estanque de 1.300 lts. $9.820</t>
        </r>
      </text>
    </comment>
    <comment ref="B11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SUBSIDIO</t>
        </r>
      </text>
    </comment>
    <comment ref="B11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IGLESIA EVANGELICA VILLA ALEGRE</t>
        </r>
      </text>
    </comment>
    <comment ref="B11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 estanque de 1.000 lts.</t>
        </r>
      </text>
    </comment>
    <comment ref="B12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N° CONTACTO 982279000</t>
        </r>
      </text>
    </comment>
    <comment ref="B12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 estanque de 1.000 lts
12 cuotas de $7.590</t>
        </r>
      </text>
    </comment>
    <comment ref="H12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$7.590, 1° cuota de 12 de estanque de 1.000 lts</t>
        </r>
      </text>
    </comment>
    <comment ref="M12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$7.590, 2° cuota de 12 de estanque de 1.000 lts</t>
        </r>
      </text>
    </comment>
    <comment ref="B124" authorId="0" shapeId="0">
      <text>
        <r>
          <rPr>
            <b/>
            <u/>
            <sz val="11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 xml:space="preserve">SUBSIDIO JUANA VILLAGRAN AVILA
</t>
        </r>
        <r>
          <rPr>
            <sz val="8"/>
            <color indexed="81"/>
            <rFont val="Tahoma"/>
            <family val="2"/>
          </rPr>
          <t>1 estanque de 1.300 lts.</t>
        </r>
      </text>
    </comment>
    <comment ref="J12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1° cuota de 10 $11.799</t>
        </r>
      </text>
    </comment>
    <comment ref="M12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2°  cuota de 10 $11.799</t>
        </r>
      </text>
    </comment>
    <comment ref="B12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SUBSIDIO ROSA AVILA MUÑOZ</t>
        </r>
      </text>
    </comment>
    <comment ref="J13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AFECTA A CORTE 
30/11/25</t>
        </r>
      </text>
    </comment>
    <comment ref="B14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2 estanques de 1.000 lts. c/u</t>
        </r>
      </text>
    </comment>
    <comment ref="B144" authorId="0" shapeId="0">
      <text>
        <r>
          <rPr>
            <b/>
            <u/>
            <sz val="8"/>
            <color indexed="81"/>
            <rFont val="Tahoma"/>
            <family val="2"/>
          </rPr>
          <t>Autor:</t>
        </r>
        <r>
          <rPr>
            <sz val="8"/>
            <color indexed="81"/>
            <rFont val="Tahoma"/>
            <family val="2"/>
          </rPr>
          <t xml:space="preserve">
SUBSIDIO  JOSE ROSALINO SANDOVAL CASTILLO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2 estanques 1.000 lts.
4 CUOTAS DE $22.750
3 CUOTAS DE $30.340</t>
        </r>
      </text>
    </comment>
    <comment ref="H14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1° DE 4 CUOTAS ESTANQUE $22.750
1° DE 3 CUOTAS ESTANQUE $30.340</t>
        </r>
      </text>
    </comment>
    <comment ref="B14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 estanque de 2.000 lts. En 6 cuotas de $26.670</t>
        </r>
      </text>
    </comment>
    <comment ref="M14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1° cuota de 6 de estanque de 2.000 lts. $26.670</t>
        </r>
      </text>
    </comment>
    <comment ref="B14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 estanque de 2.000 lts.</t>
        </r>
      </text>
    </comment>
    <comment ref="H14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corte para el 30-11</t>
        </r>
      </text>
    </comment>
    <comment ref="M14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30-01-2026</t>
        </r>
      </text>
    </comment>
    <comment ref="M15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saldo a favor</t>
        </r>
      </text>
    </comment>
    <comment ref="B153" authorId="0" shapeId="0">
      <text>
        <r>
          <rPr>
            <b/>
            <u/>
            <sz val="10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JUAN LUIS COFRE CERNA</t>
        </r>
        <r>
          <rPr>
            <sz val="9"/>
            <color indexed="81"/>
            <rFont val="Tahoma"/>
            <family val="2"/>
          </rPr>
          <t xml:space="preserve">
1 estanque de 2.000 lts.
En 12 cuotas de $13.340</t>
        </r>
      </text>
    </comment>
    <comment ref="H15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$13.340, 1° cuota de 12 de estanque de 2.000 lts.</t>
        </r>
      </text>
    </comment>
    <comment ref="M15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2° cuota de 12 $13.340 de estanque 2.000 lts</t>
        </r>
      </text>
    </comment>
    <comment ref="B15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JUAN LUIS COFRE CERNA</t>
        </r>
      </text>
    </comment>
    <comment ref="B15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MARIA ALARCON</t>
        </r>
      </text>
    </comment>
    <comment ref="M15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agua cortada</t>
        </r>
      </text>
    </comment>
    <comment ref="B15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JUAN MARCELO BASCUÑAN SOTO</t>
        </r>
      </text>
    </comment>
    <comment ref="B15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 estanque de 2.000 lts.</t>
        </r>
      </text>
    </comment>
    <comment ref="B16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2 estanques de 1.300 lts c/u</t>
        </r>
      </text>
    </comment>
    <comment ref="J16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$18.670 1° cuota de 12 de 2 estanques de 1.300 lts.</t>
        </r>
      </text>
    </comment>
    <comment ref="B16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2 estanques 
-1 de 3.500 lts.
-1 de 2.000 lts.
</t>
        </r>
      </text>
    </comment>
    <comment ref="H16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$1.900 A FAVOR PARA NOVIEMBRE</t>
        </r>
      </text>
    </comment>
    <comment ref="J16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corte para el 30-12</t>
        </r>
      </text>
    </comment>
    <comment ref="B16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 Estanque de 2.000 lts.</t>
        </r>
      </text>
    </comment>
    <comment ref="M16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30-01-2026</t>
        </r>
      </text>
    </comment>
    <comment ref="B17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 estanque de 2.000 lts.
En 6 cuotas de $26.670.-</t>
        </r>
      </text>
    </comment>
    <comment ref="H17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$26.670, 1° cuota de 6 de estanque de 2.000 lts.</t>
        </r>
      </text>
    </comment>
    <comment ref="B18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 estanque de 2.000 lts en 6 cuotas de $26.670</t>
        </r>
      </text>
    </comment>
    <comment ref="H18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$26.670, 1° cuota de 6 de estanque de 2.000 lts.</t>
        </r>
      </text>
    </comment>
    <comment ref="J18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
30/12/25</t>
        </r>
      </text>
    </comment>
    <comment ref="B18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Convenio por 1 estanque de 1.000 lts.
12 cuotas de $7.590 c/u</t>
        </r>
      </text>
    </comment>
    <comment ref="H18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2° cuota de 12 de estanque 1.000 lts.</t>
        </r>
      </text>
    </comment>
  </commentList>
</comments>
</file>

<file path=xl/comments12.xml><?xml version="1.0" encoding="utf-8"?>
<comments xmlns="http://schemas.openxmlformats.org/spreadsheetml/2006/main">
  <authors>
    <author>Autor</author>
  </authors>
  <commentList>
    <comment ref="B3" authorId="0" shapeId="0">
      <text>
        <r>
          <rPr>
            <b/>
            <sz val="9"/>
            <color indexed="81"/>
            <rFont val="Tahoma"/>
            <family val="2"/>
          </rPr>
          <t>Autor:
SUBSIDIO</t>
        </r>
      </text>
    </comment>
    <comment ref="G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subsidio se envió con 7 m3</t>
        </r>
      </text>
    </comment>
    <comment ref="M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28-02</t>
        </r>
      </text>
    </comment>
    <comment ref="B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Brígida Rodríguez tesorera</t>
        </r>
      </text>
    </comment>
    <comment ref="B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ENCARGADO 
Eligio San Martín</t>
        </r>
      </text>
    </comment>
    <comment ref="M1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28-02</t>
        </r>
      </text>
    </comment>
    <comment ref="B1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COLEGIO CAHE</t>
        </r>
      </text>
    </comment>
    <comment ref="M1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28-02</t>
        </r>
      </text>
    </comment>
    <comment ref="B1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GIMNASIO CAHE</t>
        </r>
      </text>
    </comment>
    <comment ref="B1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N° DE CONTACTO HUGO RIVERA JELDRES +56997762542</t>
        </r>
      </text>
    </comment>
    <comment ref="M1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28-02</t>
        </r>
      </text>
    </comment>
    <comment ref="M2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28-02</t>
        </r>
      </text>
    </comment>
    <comment ref="M2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28-02</t>
        </r>
      </text>
    </comment>
    <comment ref="B2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1° cuota de 12 de $7.590 por estanque de 1.000 lts.</t>
        </r>
      </text>
    </comment>
    <comment ref="H2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2° cuota de 12 de $7.590 por estanque de 1.000 lts.</t>
        </r>
      </text>
    </comment>
    <comment ref="M2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3° cuota de 12 de $7.590 por estanque de 1.000 lts.</t>
        </r>
      </text>
    </comment>
    <comment ref="B2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SUBSIDIO
Convenio estanque 11 cuotas de $7.580 c/u y la cuota 12 de $7.620</t>
        </r>
      </text>
    </comment>
    <comment ref="H2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$7.580 1° de 12 cuotas por convenio estanque</t>
        </r>
      </text>
    </comment>
    <comment ref="M2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$7.580 2° de 12 cuotas por convenio estanque</t>
        </r>
      </text>
    </comment>
    <comment ref="B2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Convenio de pago, 11 cuotas de $10.690 y 1 de $10.610(la última)</t>
        </r>
      </text>
    </comment>
    <comment ref="J2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$10.690 3° cuota de 12 de convenio por morosidad</t>
        </r>
      </text>
    </comment>
    <comment ref="M2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4° cuota de 12 de convenio por morosidad $10.690
aviso de corte para el 28-02</t>
        </r>
      </text>
    </comment>
    <comment ref="M2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28-02</t>
        </r>
      </text>
    </comment>
    <comment ref="H2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30-01-2026</t>
        </r>
      </text>
    </comment>
    <comment ref="M3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28-02</t>
        </r>
      </text>
    </comment>
    <comment ref="B3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 estanque de 2.000 lts</t>
        </r>
      </text>
    </comment>
    <comment ref="M3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3° cuota de 4 de estanque</t>
        </r>
      </text>
    </comment>
    <comment ref="B3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convenio estanque 2.000 lts. En 10 cuotas de $16.000 c/u</t>
        </r>
      </text>
    </comment>
    <comment ref="H3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$16.000.- 1° cuota de 10 de estanque 2.000 lts.</t>
        </r>
      </text>
    </comment>
    <comment ref="M3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$16.000.- 2° cuota de 10 de estanque 2.000 lts.</t>
        </r>
      </text>
    </comment>
    <comment ref="H3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30-01-2026</t>
        </r>
      </text>
    </comment>
    <comment ref="M3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corte para el 30-01</t>
        </r>
      </text>
    </comment>
    <comment ref="B38" authorId="0" shapeId="0">
      <text>
        <r>
          <rPr>
            <b/>
            <sz val="9"/>
            <color indexed="81"/>
            <rFont val="Tahoma"/>
            <family val="2"/>
          </rPr>
          <t xml:space="preserve">Autor:
SUBSIDIO
</t>
        </r>
        <r>
          <rPr>
            <sz val="9"/>
            <color indexed="81"/>
            <rFont val="Tahoma"/>
            <family val="2"/>
          </rPr>
          <t>1 estanque de 1.000 lts.
En 12 cuotas de $7.590
1 estanque de 2.000(cobro aparte)</t>
        </r>
      </text>
    </comment>
    <comment ref="J3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$7.590 2° cuota de 12 de 1 estanque de 1.000 lts.(1 estanque de 2.000 pendiente de pago)</t>
        </r>
      </text>
    </comment>
    <comment ref="M3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$7.590 3° cuota de 12 de 1 estanque de 1.000 lts.(1 estanque de 2.000 pendiente de pago)</t>
        </r>
      </text>
    </comment>
    <comment ref="M4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28-02</t>
        </r>
      </text>
    </comment>
    <comment ref="B4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SUBSIDIO</t>
        </r>
      </text>
    </comment>
    <comment ref="B4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SUBSIDIO FIDEL QUEZADA RIQUELME</t>
        </r>
      </text>
    </comment>
    <comment ref="M4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$7.590 1° cuota de 12 de estanque</t>
        </r>
      </text>
    </comment>
    <comment ref="B4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 estanque de 1.000 lts.
12 cuotas de $9.100</t>
        </r>
      </text>
    </comment>
    <comment ref="H4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$9.100 2° cuota de 10 de estanque de 1.000 lts.</t>
        </r>
      </text>
    </comment>
    <comment ref="M4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$9.100 3° cuota de 10 de estanque de 1.000 lts.</t>
        </r>
      </text>
    </comment>
    <comment ref="B4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SUBSIDIO MARISOL QUESADA QUIROZ</t>
        </r>
      </text>
    </comment>
    <comment ref="M4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28-02</t>
        </r>
      </text>
    </comment>
    <comment ref="M4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28-02</t>
        </r>
      </text>
    </comment>
    <comment ref="M4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28-02</t>
        </r>
      </text>
    </comment>
    <comment ref="M5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28-02</t>
        </r>
      </text>
    </comment>
    <comment ref="M5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corteb para el 28-02</t>
        </r>
      </text>
    </comment>
    <comment ref="B5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Convenio de pago 6 cuotas de $10.100 c/u</t>
        </r>
      </text>
    </comment>
    <comment ref="H5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$13.340 1° cuota de 12 de estanque de 2.000 lts.
$10.100 3° cuota de convenio por morosidad</t>
        </r>
      </text>
    </comment>
    <comment ref="J5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$10.100 3° cuota de 6 convenio por morosidad
</t>
        </r>
      </text>
    </comment>
    <comment ref="M5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$13.340 2° cuota de 12 de estanque de 2.000 lts.
$10.100 4° cuota de convenio por morosidad
aviso de corte por no pago de convenios y nueva morosidad para el 28-02</t>
        </r>
      </text>
    </comment>
    <comment ref="B5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2 estanques de 2.000 c/u </t>
        </r>
      </text>
    </comment>
    <comment ref="H5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$79.990, 4° cuota de 4 de 2 estanques de $2.000</t>
        </r>
      </text>
    </comment>
    <comment ref="J5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$16.000 4° cuota de 10 de estanque</t>
        </r>
      </text>
    </comment>
    <comment ref="M5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5° cuota de 10 de convenio estanque</t>
        </r>
      </text>
    </comment>
    <comment ref="B6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Convenio estanque 6 cuotas de $26.700 c/u</t>
        </r>
      </text>
    </comment>
    <comment ref="H6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$26.700 4° cuota de 6 de convenio estanque</t>
        </r>
      </text>
    </comment>
    <comment ref="M6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$25.290 6° cuota de 6 de estanque</t>
        </r>
      </text>
    </comment>
    <comment ref="B6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PARQUE CIPRES II
CARGO FIJO $99.000.- por 33 remarcadores</t>
        </r>
      </text>
    </comment>
    <comment ref="M6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no se le ha cobrado corte y reposición desde 30 de octubre</t>
        </r>
      </text>
    </comment>
    <comment ref="I7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1° cuota de 12 de estanque de 2.000 lts</t>
        </r>
      </text>
    </comment>
    <comment ref="M7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2° cuota de 12 de estanque de 2.000 lts.</t>
        </r>
      </text>
    </comment>
    <comment ref="B7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SUBSIDIO CARLOS RIFFO CABEZAS</t>
        </r>
      </text>
    </comment>
    <comment ref="J7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1° cuota de 4 de estanque de 1.000 ltsd. $22.750</t>
        </r>
      </text>
    </comment>
    <comment ref="M7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2° cuota de 4 de estanque de 1.000 lts. $22.750</t>
        </r>
      </text>
    </comment>
    <comment ref="B7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 estanque de 1.300 lts.</t>
        </r>
      </text>
    </comment>
    <comment ref="M8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28-02</t>
        </r>
      </text>
    </comment>
    <comment ref="B8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 ESTANQUE DE 3.400 LTS.
9 cuotas de $29.110.-
1 cuota de $29.070.-</t>
        </r>
      </text>
    </comment>
    <comment ref="H8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 favor $890</t>
        </r>
      </text>
    </comment>
    <comment ref="J8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2° cuota de 10 de estanque $29.110</t>
        </r>
      </text>
    </comment>
    <comment ref="M8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3° cuota de 10 de estanque $29.110</t>
        </r>
      </text>
    </comment>
    <comment ref="B8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Convenio 1 estanque 1.000 lts. 6 cuotas de $15.170 c/u</t>
        </r>
      </text>
    </comment>
    <comment ref="B8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1.000 lts.</t>
        </r>
      </text>
    </comment>
    <comment ref="H8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$18.200 2° cuota de 5 de estanque</t>
        </r>
      </text>
    </comment>
    <comment ref="B9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 estanque de 1.000 lts.
En 4 cuotas de $22.750.-</t>
        </r>
      </text>
    </comment>
    <comment ref="J9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cuota estanque</t>
        </r>
      </text>
    </comment>
    <comment ref="J9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$100.000 3° y 4° cuota de incorporación $50.000c/u + $13.340 2° cuota de 12 de estanque de 2.000 lts</t>
        </r>
      </text>
    </comment>
    <comment ref="M9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$50.000 5° cuota de 5 de incorporación + $13.340 3° cuota de 12 de estanque de 2.000 lts.</t>
        </r>
      </text>
    </comment>
    <comment ref="M9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28-02</t>
        </r>
      </text>
    </comment>
    <comment ref="B9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Convenio estanque 4 cuotas de $28.000 c/u</t>
        </r>
      </text>
    </comment>
    <comment ref="H9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3° cuota de 4 de estanque</t>
        </r>
      </text>
    </comment>
    <comment ref="M9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4° cuota de 4 de estanque</t>
        </r>
      </text>
    </comment>
    <comment ref="B9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 estanque de 2.000 lts.
En 12 cuotas de $13.340.-</t>
        </r>
      </text>
    </comment>
    <comment ref="H9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2° cuota de 12 $13.340 por estanque 
aviso de corte para el 30-01-2026</t>
        </r>
      </text>
    </comment>
    <comment ref="M9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3° cuota de 12 $13.340 por estanque 
</t>
        </r>
      </text>
    </comment>
    <comment ref="B9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 estanque de 1.300 lts. En 10 cuotas de $11.200</t>
        </r>
      </text>
    </comment>
    <comment ref="H9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1° cuota de 10 $11.200 por estanque</t>
        </r>
      </text>
    </comment>
    <comment ref="M9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$11.200 2° cuota de 10 de estanque</t>
        </r>
      </text>
    </comment>
    <comment ref="B10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SUBSIDIO</t>
        </r>
      </text>
    </comment>
    <comment ref="B103" authorId="0" shapeId="0">
      <text>
        <r>
          <rPr>
            <b/>
            <u/>
            <sz val="11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SUBSIDIO</t>
        </r>
        <r>
          <rPr>
            <sz val="9"/>
            <color indexed="81"/>
            <rFont val="Tahoma"/>
            <family val="2"/>
          </rPr>
          <t xml:space="preserve">
1 estanque de 2.000 lts.</t>
        </r>
      </text>
    </comment>
    <comment ref="M10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saldo a favor compensar connboleta de enero 2026</t>
        </r>
      </text>
    </comment>
    <comment ref="B111" authorId="0" shapeId="0">
      <text>
        <r>
          <rPr>
            <b/>
            <u/>
            <sz val="11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SUBSIDIO</t>
        </r>
        <r>
          <rPr>
            <sz val="9"/>
            <color indexed="81"/>
            <rFont val="Tahoma"/>
            <family val="2"/>
          </rPr>
          <t xml:space="preserve">
1 estanque de 2.000 lts.</t>
        </r>
      </text>
    </comment>
    <comment ref="H11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2° cuota de 8 de estanque $20.000</t>
        </r>
      </text>
    </comment>
    <comment ref="M11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3° cuota de 8 de estanque $20.000</t>
        </r>
      </text>
    </comment>
    <comment ref="B11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 estanque de 1.300 lts.</t>
        </r>
      </text>
    </comment>
    <comment ref="H11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2° cuota de 12 de estanque de 1.300 lts. $9.820</t>
        </r>
      </text>
    </comment>
    <comment ref="M11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3° cuota de 12 de estanque de 1.300 lts. $9.820
aviso de corte por no pago de 1° y 2° cuota estanque mas morosidad de 60 días</t>
        </r>
      </text>
    </comment>
    <comment ref="B11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SUBSIDIO</t>
        </r>
      </text>
    </comment>
    <comment ref="B11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IGLESIA EVANGELICA VILLA ALEGRE</t>
        </r>
      </text>
    </comment>
    <comment ref="B11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 estanque de 1.000 lts.</t>
        </r>
      </text>
    </comment>
    <comment ref="M11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$9.100 1° CUOTA DE 10 DE ESTANQUE </t>
        </r>
      </text>
    </comment>
    <comment ref="B12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N° CONTACTO 982279000</t>
        </r>
      </text>
    </comment>
    <comment ref="M12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28-02</t>
        </r>
      </text>
    </comment>
    <comment ref="B12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 estanque de 1.000 lts
12 cuotas de $7.590</t>
        </r>
      </text>
    </comment>
    <comment ref="H12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$7.590, 2° cuota de 12 de estanque de 1.000 lts</t>
        </r>
      </text>
    </comment>
    <comment ref="M12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$7.590, 3° cuota de 12 de estanque de 1.000 lts</t>
        </r>
      </text>
    </comment>
    <comment ref="B125" authorId="0" shapeId="0">
      <text>
        <r>
          <rPr>
            <b/>
            <u/>
            <sz val="11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 xml:space="preserve">SUBSIDIO JUANA VILLAGRAN AVILA
</t>
        </r>
        <r>
          <rPr>
            <sz val="8"/>
            <color indexed="81"/>
            <rFont val="Tahoma"/>
            <family val="2"/>
          </rPr>
          <t>1 estanque de 1.300 lts.</t>
        </r>
      </text>
    </comment>
    <comment ref="H12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2° cuota de 10 $11.800 de estanque</t>
        </r>
      </text>
    </comment>
    <comment ref="M12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3° cuota de 10 $11.800 de estanque</t>
        </r>
      </text>
    </comment>
    <comment ref="B12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SUBSIDIO ROSA AVILA MUÑOZ</t>
        </r>
      </text>
    </comment>
    <comment ref="M12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28-02</t>
        </r>
      </text>
    </comment>
    <comment ref="M13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28-02</t>
        </r>
      </text>
    </comment>
    <comment ref="M13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28-02</t>
        </r>
      </text>
    </comment>
    <comment ref="M13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28-02</t>
        </r>
      </text>
    </comment>
    <comment ref="M13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corte y reposición</t>
        </r>
      </text>
    </comment>
    <comment ref="B14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2 estanques de 1.000 lts. c/u</t>
        </r>
      </text>
    </comment>
    <comment ref="M14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28-02</t>
        </r>
      </text>
    </comment>
    <comment ref="B145" authorId="0" shapeId="0">
      <text>
        <r>
          <rPr>
            <b/>
            <u/>
            <sz val="8"/>
            <color indexed="81"/>
            <rFont val="Tahoma"/>
            <family val="2"/>
          </rPr>
          <t>Autor:</t>
        </r>
        <r>
          <rPr>
            <sz val="8"/>
            <color indexed="81"/>
            <rFont val="Tahoma"/>
            <family val="2"/>
          </rPr>
          <t xml:space="preserve">
SUBSIDIO  JOSE ROSALINO SANDOVAL CASTILLO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2 estanques 1.000 lts.
4 CUOTAS DE $22.750
3 CUOTAS DE $30.340</t>
        </r>
      </text>
    </comment>
    <comment ref="H14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2° DE 4 CUOTAS ESTANQUE $22.750
2° DE 3 CUOTAS ESTANQUE $30.340</t>
        </r>
      </text>
    </comment>
    <comment ref="M14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3° DE 4 CUOTAS ESTANQUE $22.750
3° DE 3 CUOTAS ESTANQUE $30.340</t>
        </r>
      </text>
    </comment>
    <comment ref="B14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 estanque de 2.000 lts. En 6 cuotas de $26.670</t>
        </r>
      </text>
    </comment>
    <comment ref="H14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1° cuota de 6 de estanque de 2.000 lts. $26.670</t>
        </r>
      </text>
    </comment>
    <comment ref="M14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2° cuota de 6 de estanque</t>
        </r>
      </text>
    </comment>
    <comment ref="B14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 estanque de 2.000 lts.</t>
        </r>
      </text>
    </comment>
    <comment ref="M14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28-02</t>
        </r>
      </text>
    </comment>
    <comment ref="H15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30-01-2026</t>
        </r>
      </text>
    </comment>
    <comment ref="H15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saldo a favor</t>
        </r>
      </text>
    </comment>
    <comment ref="B154" authorId="0" shapeId="0">
      <text>
        <r>
          <rPr>
            <b/>
            <u/>
            <sz val="10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JUAN LUIS COFRE CERNA</t>
        </r>
        <r>
          <rPr>
            <sz val="9"/>
            <color indexed="81"/>
            <rFont val="Tahoma"/>
            <family val="2"/>
          </rPr>
          <t xml:space="preserve">
1 estanque de 2.000 lts.
En 12 cuotas de $13.340</t>
        </r>
      </text>
    </comment>
    <comment ref="H15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2° cuota de 12 $13.340 de estanque 2.000 lts</t>
        </r>
      </text>
    </comment>
    <comment ref="J15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$13.340 2° cuota de 12 de estanque de 2.000 lts</t>
        </r>
      </text>
    </comment>
    <comment ref="M15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3° cuota de 12 $13.340 de estanque 2.000 lts</t>
        </r>
      </text>
    </comment>
    <comment ref="B15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JUAN LUIS COFRE CERNA</t>
        </r>
      </text>
    </comment>
    <comment ref="B15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MARIA ALARCON</t>
        </r>
      </text>
    </comment>
    <comment ref="H15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agua cortada</t>
        </r>
      </text>
    </comment>
    <comment ref="M15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corte y repocición fines de noviembre</t>
        </r>
      </text>
    </comment>
    <comment ref="B15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JUAN MARCELO BASCUÑAN SOTO</t>
        </r>
      </text>
    </comment>
    <comment ref="B16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 estanque de 2.000 lts.</t>
        </r>
      </text>
    </comment>
    <comment ref="B16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2 estanques de 1.300 lts c/u</t>
        </r>
      </text>
    </comment>
    <comment ref="J16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$18.670 2° cuota de 12 de 2 estanques de 1.300 lts.</t>
        </r>
      </text>
    </comment>
    <comment ref="M16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$18.670 3° cuota de 12 de 2 estanques de 1.300 lts.</t>
        </r>
      </text>
    </comment>
    <comment ref="M16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28.02</t>
        </r>
      </text>
    </comment>
    <comment ref="B16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2 estanques 
-1 de 3.500 lts.
-1 de 2.000 lts.
</t>
        </r>
      </text>
    </comment>
    <comment ref="M16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28-02</t>
        </r>
      </text>
    </comment>
    <comment ref="B16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 Estanque de 2.000 lts.</t>
        </r>
      </text>
    </comment>
    <comment ref="M16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28-02</t>
        </r>
      </text>
    </comment>
    <comment ref="H16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30-01-2026</t>
        </r>
      </text>
    </comment>
    <comment ref="M16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corte para el 30-01</t>
        </r>
      </text>
    </comment>
    <comment ref="M17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28-02</t>
        </r>
      </text>
    </comment>
    <comment ref="M17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$300 a favor para febrero</t>
        </r>
      </text>
    </comment>
    <comment ref="M17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28-02</t>
        </r>
      </text>
    </comment>
    <comment ref="B18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 estanque de 2.000 lts.
En 6 cuotas de $26.670.-</t>
        </r>
      </text>
    </comment>
    <comment ref="H180" authorId="0" shapeId="0">
      <text>
        <r>
          <rPr>
            <b/>
            <sz val="9"/>
            <color indexed="81"/>
            <rFont val="Tahoma"/>
            <family val="2"/>
          </rPr>
          <t xml:space="preserve">APR STA FILOMENA
</t>
        </r>
        <r>
          <rPr>
            <sz val="9"/>
            <color indexed="81"/>
            <rFont val="Tahoma"/>
            <family val="2"/>
          </rPr>
          <t>$26.670 2° cuota de 6 de estanque</t>
        </r>
      </text>
    </comment>
    <comment ref="M180" authorId="0" shapeId="0">
      <text>
        <r>
          <rPr>
            <b/>
            <sz val="9"/>
            <color indexed="81"/>
            <rFont val="Tahoma"/>
            <family val="2"/>
          </rPr>
          <t xml:space="preserve">APR STA FILOMENA
</t>
        </r>
        <r>
          <rPr>
            <sz val="9"/>
            <color indexed="81"/>
            <rFont val="Tahoma"/>
            <family val="2"/>
          </rPr>
          <t>$26.670 3° cuota de 6 de estanque</t>
        </r>
      </text>
    </comment>
    <comment ref="B18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 estanque de 2.000 lts en 6 cuotas de $26.670</t>
        </r>
      </text>
    </comment>
    <comment ref="H181" authorId="0" shapeId="0">
      <text>
        <r>
          <rPr>
            <b/>
            <sz val="9"/>
            <color indexed="81"/>
            <rFont val="Tahoma"/>
            <family val="2"/>
          </rPr>
          <t xml:space="preserve">APR STA FILOMENA
</t>
        </r>
        <r>
          <rPr>
            <sz val="9"/>
            <color indexed="81"/>
            <rFont val="Tahoma"/>
            <family val="2"/>
          </rPr>
          <t>$26.670 2° cuota de 6 de estanque</t>
        </r>
      </text>
    </comment>
    <comment ref="M181" authorId="0" shapeId="0">
      <text>
        <r>
          <rPr>
            <b/>
            <sz val="9"/>
            <color indexed="81"/>
            <rFont val="Tahoma"/>
            <family val="2"/>
          </rPr>
          <t xml:space="preserve">APR STA FILOMENA
</t>
        </r>
        <r>
          <rPr>
            <sz val="9"/>
            <color indexed="81"/>
            <rFont val="Tahoma"/>
            <family val="2"/>
          </rPr>
          <t>$26.670 3° cuota de 6 de estanque</t>
        </r>
      </text>
    </comment>
    <comment ref="B18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Convenio por 1 estanque de 1.000 lts.
12 cuotas de $7.590 c/u</t>
        </r>
      </text>
    </comment>
    <comment ref="J18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$7.590 3° cuota de 12 de estanque</t>
        </r>
      </text>
    </comment>
    <comment ref="M18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$7.590 4° cuota de 12 de estanque</t>
        </r>
      </text>
    </comment>
    <comment ref="M19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28-02</t>
        </r>
      </text>
    </comment>
    <comment ref="M19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28-02</t>
        </r>
      </text>
    </comment>
    <comment ref="H19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30-01-2026</t>
        </r>
      </text>
    </comment>
    <comment ref="M19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corte para el 30-01</t>
        </r>
      </text>
    </comment>
  </commentList>
</comments>
</file>

<file path=xl/comments13.xml><?xml version="1.0" encoding="utf-8"?>
<comments xmlns="http://schemas.openxmlformats.org/spreadsheetml/2006/main">
  <authors>
    <author>Autor</author>
  </authors>
  <commentList>
    <comment ref="B3" authorId="0" shapeId="0">
      <text>
        <r>
          <rPr>
            <b/>
            <sz val="9"/>
            <color indexed="81"/>
            <rFont val="Tahoma"/>
            <family val="2"/>
          </rPr>
          <t>Autor:
SUBSIDIO</t>
        </r>
      </text>
    </comment>
    <comment ref="G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sin lectura</t>
        </r>
      </text>
    </comment>
    <comment ref="H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28-02</t>
        </r>
      </text>
    </comment>
    <comment ref="B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Brígida Rodríguez tesorera</t>
        </r>
      </text>
    </comment>
    <comment ref="B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ENCARGADO 
Eligio San Martín</t>
        </r>
      </text>
    </comment>
    <comment ref="H1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28-02</t>
        </r>
      </text>
    </comment>
    <comment ref="J1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$13.340 1° cuota de 12 de estanque</t>
        </r>
      </text>
    </comment>
    <comment ref="M1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$13.340 2° cuota de 12 de estanque</t>
        </r>
      </text>
    </comment>
    <comment ref="B1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COLEGIO CAHE</t>
        </r>
      </text>
    </comment>
    <comment ref="M1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30-03</t>
        </r>
      </text>
    </comment>
    <comment ref="M1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saldo a favor por pago enero</t>
        </r>
      </text>
    </comment>
    <comment ref="B1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GIMNASIO CAHE</t>
        </r>
      </text>
    </comment>
    <comment ref="M1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30-03</t>
        </r>
      </text>
    </comment>
    <comment ref="B1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N° DE CONTACTO HUGO RIVERA JELDRES +56997762542</t>
        </r>
      </text>
    </comment>
    <comment ref="G1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sin lectura</t>
        </r>
      </text>
    </comment>
    <comment ref="H2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28-02</t>
        </r>
      </text>
    </comment>
    <comment ref="M2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28-02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sin lectura</t>
        </r>
      </text>
    </comment>
    <comment ref="B2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1° cuota de 12 de $7.590 por estanque de 1.000 lts.</t>
        </r>
      </text>
    </comment>
    <comment ref="H2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3° cuota de 12 de $7.590 por estanque de 1.000 lts.</t>
        </r>
      </text>
    </comment>
    <comment ref="B2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SUBSIDIO
Convenio estanque 11 cuotas de $7.580 c/u y la cuota 12 de $7.620</t>
        </r>
      </text>
    </comment>
    <comment ref="H2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$7.580 2° de 12 cuotas por convenio estanque</t>
        </r>
      </text>
    </comment>
    <comment ref="M2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$7.580 3° de 12 cuotas por convenio estanque</t>
        </r>
      </text>
    </comment>
    <comment ref="B2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Convenio de pago, 11 cuotas de $10.690 y 1 de $10.610(la última)</t>
        </r>
      </text>
    </comment>
    <comment ref="H2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4° cuota de 12 de convenio por morosidad $10.690
aviso de corte para el 28-02 por no pago de 3° cuota convenio</t>
        </r>
      </text>
    </comment>
    <comment ref="J2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$10.690 4° cuota de 12 por convenio por morosidad</t>
        </r>
      </text>
    </comment>
    <comment ref="M2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$10.690 5° cuota de 12 por convenio por morosidad</t>
        </r>
      </text>
    </comment>
    <comment ref="H2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28-02</t>
        </r>
      </text>
    </comment>
    <comment ref="M2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28-02</t>
        </r>
      </text>
    </comment>
    <comment ref="M2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30-03</t>
        </r>
      </text>
    </comment>
    <comment ref="H3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28-02</t>
        </r>
      </text>
    </comment>
    <comment ref="B3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 estanque de 2.000 lts</t>
        </r>
      </text>
    </comment>
    <comment ref="H3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3° cuota de 4 de estanque $40.000</t>
        </r>
      </text>
    </comment>
    <comment ref="M3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3° cuota de 4 de estanque $40.000</t>
        </r>
      </text>
    </comment>
    <comment ref="B3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convenio estanque 2.000 lts. En 10 cuotas de $16.000 c/u</t>
        </r>
      </text>
    </comment>
    <comment ref="H3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$16.000.- 2° cuota de 10 de estanque 2.000 lts.</t>
        </r>
      </text>
    </comment>
    <comment ref="B38" authorId="0" shapeId="0">
      <text>
        <r>
          <rPr>
            <b/>
            <sz val="9"/>
            <color indexed="81"/>
            <rFont val="Tahoma"/>
            <family val="2"/>
          </rPr>
          <t xml:space="preserve">Autor:
SUBSIDIO
</t>
        </r>
        <r>
          <rPr>
            <sz val="9"/>
            <color indexed="81"/>
            <rFont val="Tahoma"/>
            <family val="2"/>
          </rPr>
          <t>1 estanque de 1.000 lts.
En 12 cuotas de $7.590
1 estanque de 2.000(cobro aparte)</t>
        </r>
      </text>
    </comment>
    <comment ref="H3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$7.590 3° cuota de 12 de 1 estanque de 1.000 lts.(1 estanque de 2.000 pendiente de pago)</t>
        </r>
      </text>
    </comment>
    <comment ref="M3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$7.590 4° cuota de 12 de 1 estanque de 1.000 lts.(1 estanque de 2.000 pendiente de pago)</t>
        </r>
      </text>
    </comment>
    <comment ref="B4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SUBSIDIO</t>
        </r>
      </text>
    </comment>
    <comment ref="B4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SUBSIDIO FIDEL QUEZADA RIQUELME</t>
        </r>
      </text>
    </comment>
    <comment ref="H4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$7.590 1° cuota de 12 de estanque</t>
        </r>
      </text>
    </comment>
    <comment ref="M4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$7.590 2° cuota de 12 de estanque</t>
        </r>
      </text>
    </comment>
    <comment ref="B4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 estanque de 1.000 lts.
12 cuotas de $9.100</t>
        </r>
      </text>
    </comment>
    <comment ref="H4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$9.100 3° cuota de 10 de estanque de 1.000 lts.</t>
        </r>
      </text>
    </comment>
    <comment ref="B4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SUBSIDIO MARISOL QUESADA QUIROZ</t>
        </r>
      </text>
    </comment>
    <comment ref="H4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28-02</t>
        </r>
      </text>
    </comment>
    <comment ref="H5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corteb para el 28-02</t>
        </r>
      </text>
    </comment>
    <comment ref="M5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28-02</t>
        </r>
      </text>
    </comment>
    <comment ref="B5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Convenio de pago 6 cuotas de $10.100 c/u</t>
        </r>
      </text>
    </comment>
    <comment ref="H5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por no pago de convenios y nueva morosidad para el 28-02</t>
        </r>
      </text>
    </comment>
    <comment ref="J5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$13.340 2° cuota de 12 por estanque de 2.000 lts.  $10.100 4° cuota de 6 por convenio por morosidad</t>
        </r>
      </text>
    </comment>
    <comment ref="M5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$13.340 3° cuota de 12 de estanque de 2.000 lts.
$10.100 5° cuota de convenio por morosidad
aviso de corte por no pago de convenios y nueva morosidad para el 28-02</t>
        </r>
      </text>
    </comment>
    <comment ref="B5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2 estanques de 2.000 c/u </t>
        </r>
      </text>
    </comment>
    <comment ref="H5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5° cuota de 10 de convenio estanque</t>
        </r>
      </text>
    </comment>
    <comment ref="J5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se nos olvidó cobrar cuota de estanque</t>
        </r>
      </text>
    </comment>
    <comment ref="B6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Convenio estanque 6 cuotas de $26.700 c/u</t>
        </r>
      </text>
    </comment>
    <comment ref="H6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$25.290 6° cuota de 6 de estanque</t>
        </r>
      </text>
    </comment>
    <comment ref="B6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PARQUE CIPRES II
CARGO FIJO $99.000.- por 33 remarcadores</t>
        </r>
      </text>
    </comment>
    <comment ref="M6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SADO A FAVOR</t>
        </r>
      </text>
    </comment>
    <comment ref="M7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$25.000 2da  de 10 cuota de incorporacion </t>
        </r>
      </text>
    </comment>
    <comment ref="I7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2° cuota de 12 de estanque de 2.000 lts</t>
        </r>
      </text>
    </comment>
    <comment ref="M7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2° cuota de 12 de estanque de 2.000 lts</t>
        </r>
      </text>
    </comment>
    <comment ref="B7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SUBSIDIO CARLOS RIFFO CABEZAS</t>
        </r>
      </text>
    </comment>
    <comment ref="H7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2° cuota de 4 de estanque de 1.000 lts. $22.750</t>
        </r>
      </text>
    </comment>
    <comment ref="M7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3° cuota de 4 de estanque de 1.000 lts. $22.750</t>
        </r>
      </text>
    </comment>
    <comment ref="B7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 estanque de 1.300 lts.</t>
        </r>
      </text>
    </comment>
    <comment ref="M7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$37.340 2° CUOTA DE 3 DE ESTANQUE</t>
        </r>
      </text>
    </comment>
    <comment ref="H8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28-02</t>
        </r>
      </text>
    </comment>
    <comment ref="M8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28-02</t>
        </r>
      </text>
    </comment>
    <comment ref="B8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 ESTANQUE DE 3.400 LTS.
9 cuotas de $29.110.-
1 cuota de $29.070.-</t>
        </r>
      </text>
    </comment>
    <comment ref="H8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3° cuota de 10 de estanque $29.110</t>
        </r>
      </text>
    </comment>
    <comment ref="J8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$5.000 CONVENIO</t>
        </r>
      </text>
    </comment>
    <comment ref="M8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$5.000 convenio</t>
        </r>
      </text>
    </comment>
    <comment ref="M8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30-03</t>
        </r>
      </text>
    </comment>
    <comment ref="G8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proporcional al mes </t>
        </r>
      </text>
    </comment>
    <comment ref="B8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Convenio 1 estanque 1.000 lts. 6 cuotas de $15.170 c/u</t>
        </r>
      </text>
    </comment>
    <comment ref="J8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$15.170 2° cuota estanque</t>
        </r>
      </text>
    </comment>
    <comment ref="M8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3° cuota estanque</t>
        </r>
      </text>
    </comment>
    <comment ref="B8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1.000 lts.</t>
        </r>
      </text>
    </comment>
    <comment ref="H8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$18.200 3° cuota de 5 de estanque</t>
        </r>
      </text>
    </comment>
    <comment ref="M8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$18.200 4° cuota de 5 estanque</t>
        </r>
      </text>
    </comment>
    <comment ref="M9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30-03</t>
        </r>
      </text>
    </comment>
    <comment ref="B9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 estanque de 1.000 lts.
En 4 cuotas de $22.750.-</t>
        </r>
      </text>
    </comment>
    <comment ref="M9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$20.500 4°CUOTA DE 4 DE ESTANQUE</t>
        </r>
      </text>
    </comment>
    <comment ref="H9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$50.000 5° cuota de 5 de incorporación + $13.340 3° cuota de 12 de estanque de 2.000 lts.</t>
        </r>
      </text>
    </comment>
    <comment ref="M9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$13.340 4° cuota de 12 de estanque</t>
        </r>
      </text>
    </comment>
    <comment ref="H9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28-02</t>
        </r>
      </text>
    </comment>
    <comment ref="M9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28-02</t>
        </r>
      </text>
    </comment>
    <comment ref="M9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2° cuota estanque de 1.300 lts $17.340</t>
        </r>
      </text>
    </comment>
    <comment ref="B9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Convenio estanque 4 cuotas de $28.000 c/u</t>
        </r>
      </text>
    </comment>
    <comment ref="H9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4° cuota de 4 de estanque</t>
        </r>
      </text>
    </comment>
    <comment ref="M9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30-03</t>
        </r>
      </text>
    </comment>
    <comment ref="B9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 estanque de 2.000 lts.
En 12 cuotas de $13.340.-</t>
        </r>
      </text>
    </comment>
    <comment ref="H9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3° cuota de 12 $13.340 por estanque 
</t>
        </r>
      </text>
    </comment>
    <comment ref="M9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4° cuota de 12 $13.340 por estanque 
</t>
        </r>
      </text>
    </comment>
    <comment ref="B10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 estanque de 1.300 lts. En 10 cuotas de $11.200</t>
        </r>
      </text>
    </comment>
    <comment ref="H10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$11.200 2° cuota de 10 de estanque</t>
        </r>
      </text>
    </comment>
    <comment ref="M10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$11.200 3° cuota de 10 de estanque</t>
        </r>
      </text>
    </comment>
    <comment ref="B10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SUBSIDIO</t>
        </r>
      </text>
    </comment>
    <comment ref="B104" authorId="0" shapeId="0">
      <text>
        <r>
          <rPr>
            <b/>
            <u/>
            <sz val="11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SUBSIDIO</t>
        </r>
        <r>
          <rPr>
            <sz val="9"/>
            <color indexed="81"/>
            <rFont val="Tahoma"/>
            <family val="2"/>
          </rPr>
          <t xml:space="preserve">
1 estanque de 2.000 lts.</t>
        </r>
      </text>
    </comment>
    <comment ref="H10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saldo a favor compensar connboleta de enero 2026</t>
        </r>
      </text>
    </comment>
    <comment ref="B112" authorId="0" shapeId="0">
      <text>
        <r>
          <rPr>
            <b/>
            <u/>
            <sz val="11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SUBSIDIO</t>
        </r>
        <r>
          <rPr>
            <sz val="9"/>
            <color indexed="81"/>
            <rFont val="Tahoma"/>
            <family val="2"/>
          </rPr>
          <t xml:space="preserve">
1 estanque de 2.000 lts.</t>
        </r>
      </text>
    </comment>
    <comment ref="H11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3° cuota de 8 de estanque $20.000</t>
        </r>
      </text>
    </comment>
    <comment ref="M11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4° cuota de 8 de estanque $20.000</t>
        </r>
      </text>
    </comment>
    <comment ref="B11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 estanque de 1.300 lts.</t>
        </r>
      </text>
    </comment>
    <comment ref="H11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3° cuota de 12 de estanque de 1.300 lts. $9.820
aviso de corte para el 28-02 por no pago de 1° y 2° cuota estanque mas morosidad de 60 días</t>
        </r>
      </text>
    </comment>
    <comment ref="M11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$9.820 4° cuota de 12 de estanque de 1.300 lts.</t>
        </r>
      </text>
    </comment>
    <comment ref="B11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SUBSIDIO</t>
        </r>
      </text>
    </comment>
    <comment ref="G11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SIN LECTURA</t>
        </r>
      </text>
    </comment>
    <comment ref="B11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IGLESIA EVANGELICA VILLA ALEGRE</t>
        </r>
      </text>
    </comment>
    <comment ref="B12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 estanque de 1.000 lts.</t>
        </r>
      </text>
    </comment>
    <comment ref="H12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$9.100 1° CUOTA DE 10 DE ESTANQUE </t>
        </r>
      </text>
    </comment>
    <comment ref="M12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$9.100 2° CUOTA DE 10 DE ESTANQUE </t>
        </r>
      </text>
    </comment>
    <comment ref="G12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SIN LECTURA</t>
        </r>
      </text>
    </comment>
    <comment ref="B12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N° CONTACTO 982279000</t>
        </r>
      </text>
    </comment>
    <comment ref="H12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28-02</t>
        </r>
      </text>
    </comment>
    <comment ref="B12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 estanque de 1.000 lts
12 cuotas de $7.590</t>
        </r>
      </text>
    </comment>
    <comment ref="H12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$7.590, 3° cuota de 12 de estanque de 1.000 lts</t>
        </r>
      </text>
    </comment>
    <comment ref="M12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$7.590, 4° cuota de 12 de estanque de 1.000 lts</t>
        </r>
      </text>
    </comment>
    <comment ref="B126" authorId="0" shapeId="0">
      <text>
        <r>
          <rPr>
            <b/>
            <u/>
            <sz val="11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 xml:space="preserve">SUBSIDIO JUANA VILLAGRAN AVILA
</t>
        </r>
        <r>
          <rPr>
            <sz val="8"/>
            <color indexed="81"/>
            <rFont val="Tahoma"/>
            <family val="2"/>
          </rPr>
          <t>1 estanque de 1.300 lts.</t>
        </r>
      </text>
    </comment>
    <comment ref="H12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3° cuota de 10 $11.800 de estanque</t>
        </r>
      </text>
    </comment>
    <comment ref="M12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4° cuota de 10 $11.800 de estanque</t>
        </r>
      </text>
    </comment>
    <comment ref="B12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SUBSIDIO ROSA AVILA MUÑOZ</t>
        </r>
      </text>
    </comment>
    <comment ref="H12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28-02</t>
        </r>
      </text>
    </comment>
    <comment ref="H13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28-02</t>
        </r>
      </text>
    </comment>
    <comment ref="H14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corte y reposición</t>
        </r>
      </text>
    </comment>
    <comment ref="B14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2 estanques de 1.000 lts. c/u</t>
        </r>
      </text>
    </comment>
    <comment ref="H14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28-02</t>
        </r>
      </text>
    </comment>
    <comment ref="M14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28-02</t>
        </r>
      </text>
    </comment>
    <comment ref="B146" authorId="0" shapeId="0">
      <text>
        <r>
          <rPr>
            <b/>
            <u/>
            <sz val="8"/>
            <color indexed="81"/>
            <rFont val="Tahoma"/>
            <family val="2"/>
          </rPr>
          <t>Autor:</t>
        </r>
        <r>
          <rPr>
            <sz val="8"/>
            <color indexed="81"/>
            <rFont val="Tahoma"/>
            <family val="2"/>
          </rPr>
          <t xml:space="preserve">
SUBSIDIO  JOSE ROSALINO SANDOVAL CASTILLO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2 estanques 1.000 lts.
4 CUOTAS DE $22.750
3 CUOTAS DE $30.340</t>
        </r>
      </text>
    </comment>
    <comment ref="H14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3° DE 4 CUOTAS ESTANQUE $22.750
3° DE 3 CUOTAS ESTANQUE $30.340</t>
        </r>
      </text>
    </comment>
    <comment ref="M14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4° cuota de 4 de estanque</t>
        </r>
      </text>
    </comment>
    <comment ref="B14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 estanque de 2.000 lts. En 6 cuotas de $26.670</t>
        </r>
      </text>
    </comment>
    <comment ref="H14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2° cuota de 6 de estanque</t>
        </r>
      </text>
    </comment>
    <comment ref="M14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$26.670 3° cuota de 6 de estanque</t>
        </r>
      </text>
    </comment>
    <comment ref="M14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saldo a favor</t>
        </r>
      </text>
    </comment>
    <comment ref="B15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 estanque de 2.000 lts.</t>
        </r>
      </text>
    </comment>
    <comment ref="H15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28-02</t>
        </r>
      </text>
    </comment>
    <comment ref="M15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1ERA DE 12 CUOTA ESTANQUE 13340</t>
        </r>
      </text>
    </comment>
    <comment ref="B155" authorId="0" shapeId="0">
      <text>
        <r>
          <rPr>
            <b/>
            <u/>
            <sz val="10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JUAN LUIS COFRE CERNA</t>
        </r>
        <r>
          <rPr>
            <sz val="9"/>
            <color indexed="81"/>
            <rFont val="Tahoma"/>
            <family val="2"/>
          </rPr>
          <t xml:space="preserve">
1 estanque de 2.000 lts.
En 12 cuotas de $13.340</t>
        </r>
      </text>
    </comment>
    <comment ref="H15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3° cuota de 12 $13.340 de estanque 2.000 lts</t>
        </r>
      </text>
    </comment>
    <comment ref="M15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30-03</t>
        </r>
      </text>
    </comment>
    <comment ref="B15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JUAN LUIS COFRE CERNA</t>
        </r>
      </text>
    </comment>
    <comment ref="B15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MARIA ALARCON</t>
        </r>
      </text>
    </comment>
    <comment ref="H15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corte y repocición fines de noviembre</t>
        </r>
      </text>
    </comment>
    <comment ref="B16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JUAN MARCELO BASCUÑAN SOTO</t>
        </r>
      </text>
    </comment>
    <comment ref="B16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 estanque de 2.000 lts.</t>
        </r>
      </text>
    </comment>
    <comment ref="B16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2 estanques de 1.300 lts c/u</t>
        </r>
      </text>
    </comment>
    <comment ref="H16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$18.670 3° cuota de 12 de 2 estanques de 1.300 lts.</t>
        </r>
      </text>
    </comment>
    <comment ref="H16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28.02</t>
        </r>
      </text>
    </comment>
    <comment ref="B16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2 estanques 
-1 de 3.500 lts.
-1 de 2.000 lts.
</t>
        </r>
      </text>
    </comment>
    <comment ref="H16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28-02</t>
        </r>
      </text>
    </comment>
    <comment ref="M16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28-02</t>
        </r>
      </text>
    </comment>
    <comment ref="B16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 Estanque de 2.000 lts.</t>
        </r>
      </text>
    </comment>
    <comment ref="F16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MEDIDOR MALO</t>
        </r>
      </text>
    </comment>
    <comment ref="H17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corte para el 30-01</t>
        </r>
      </text>
    </comment>
    <comment ref="H17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28-02</t>
        </r>
      </text>
    </comment>
    <comment ref="M17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 28-02</t>
        </r>
      </text>
    </comment>
    <comment ref="G17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SIN LECTURA</t>
        </r>
      </text>
    </comment>
    <comment ref="H17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$300 a favor para febrero</t>
        </r>
      </text>
    </comment>
    <comment ref="H17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28-02</t>
        </r>
      </text>
    </comment>
    <comment ref="G17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SIN LECTURA</t>
        </r>
      </text>
    </comment>
    <comment ref="B18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 estanque de 2.000 lts.
En 6 cuotas de $26.670.-</t>
        </r>
      </text>
    </comment>
    <comment ref="H181" authorId="0" shapeId="0">
      <text>
        <r>
          <rPr>
            <b/>
            <sz val="9"/>
            <color indexed="81"/>
            <rFont val="Tahoma"/>
            <family val="2"/>
          </rPr>
          <t xml:space="preserve">APR STA FILOMENA
</t>
        </r>
        <r>
          <rPr>
            <sz val="9"/>
            <color indexed="81"/>
            <rFont val="Tahoma"/>
            <family val="2"/>
          </rPr>
          <t>$26.670 3° cuota de 6 de estanque</t>
        </r>
      </text>
    </comment>
    <comment ref="M181" authorId="0" shapeId="0">
      <text>
        <r>
          <rPr>
            <b/>
            <sz val="9"/>
            <color indexed="81"/>
            <rFont val="Tahoma"/>
            <family val="2"/>
          </rPr>
          <t xml:space="preserve">APR STA FILOMENA
</t>
        </r>
        <r>
          <rPr>
            <sz val="9"/>
            <color indexed="81"/>
            <rFont val="Tahoma"/>
            <family val="2"/>
          </rPr>
          <t>$26.670 4° cuota de 6 de estanque</t>
        </r>
      </text>
    </comment>
    <comment ref="B18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 estanque de 2.000 lts en 6 cuotas de $26.670</t>
        </r>
      </text>
    </comment>
    <comment ref="H182" authorId="0" shapeId="0">
      <text>
        <r>
          <rPr>
            <b/>
            <sz val="9"/>
            <color indexed="81"/>
            <rFont val="Tahoma"/>
            <family val="2"/>
          </rPr>
          <t xml:space="preserve">APR STA FILOMENA
</t>
        </r>
        <r>
          <rPr>
            <sz val="9"/>
            <color indexed="81"/>
            <rFont val="Tahoma"/>
            <family val="2"/>
          </rPr>
          <t>$26.670 3° cuota de 6 de estanque</t>
        </r>
      </text>
    </comment>
    <comment ref="M182" authorId="0" shapeId="0">
      <text>
        <r>
          <rPr>
            <b/>
            <sz val="9"/>
            <color indexed="81"/>
            <rFont val="Tahoma"/>
            <family val="2"/>
          </rPr>
          <t xml:space="preserve">APR STA FILOMENA
</t>
        </r>
        <r>
          <rPr>
            <sz val="9"/>
            <color indexed="81"/>
            <rFont val="Tahoma"/>
            <family val="2"/>
          </rPr>
          <t>$26.670 4° cuota de 6 de estanque</t>
        </r>
      </text>
    </comment>
    <comment ref="B18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Convenio por 1 estanque de 1.000 lts.
12 cuotas de $7.590 c/u</t>
        </r>
      </text>
    </comment>
    <comment ref="H18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$7.590 4° cuota de 12 de estanque</t>
        </r>
      </text>
    </comment>
    <comment ref="M19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30-03</t>
        </r>
      </text>
    </comment>
    <comment ref="J20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2° CUOTA DE 6 DE ESTANQUE</t>
        </r>
      </text>
    </comment>
    <comment ref="M20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3° CUOTA DE 6 DE ESTANQUE</t>
        </r>
      </text>
    </comment>
  </commentList>
</comments>
</file>

<file path=xl/comments14.xml><?xml version="1.0" encoding="utf-8"?>
<comments xmlns="http://schemas.openxmlformats.org/spreadsheetml/2006/main">
  <authors>
    <author>Autor</author>
  </authors>
  <commentList>
    <comment ref="B7" authorId="0" shapeId="0">
      <text>
        <r>
          <rPr>
            <b/>
            <sz val="9"/>
            <color indexed="81"/>
            <rFont val="Tahoma"/>
            <family val="2"/>
          </rPr>
          <t>Autor:
SUBSIDIO</t>
        </r>
      </text>
    </comment>
    <comment ref="B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Brígida Rodríguez tesorera</t>
        </r>
      </text>
    </comment>
    <comment ref="B1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ENCARGADO 
Eligio San Martín</t>
        </r>
      </text>
    </comment>
    <comment ref="H1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$13.340 2° cuota de 12 de estanque</t>
        </r>
      </text>
    </comment>
    <comment ref="B1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COLEGIO CAHE</t>
        </r>
      </text>
    </comment>
    <comment ref="H1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30-03</t>
        </r>
      </text>
    </comment>
    <comment ref="H1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saldo a favor por pago enero</t>
        </r>
      </text>
    </comment>
    <comment ref="B2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GIMNASIO CAHE</t>
        </r>
      </text>
    </comment>
    <comment ref="H2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30-03</t>
        </r>
      </text>
    </comment>
    <comment ref="B2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N° DE CONTACTO HUGO RIVERA JELDRES +56997762542</t>
        </r>
      </text>
    </comment>
    <comment ref="H2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28-02</t>
        </r>
      </text>
    </comment>
    <comment ref="B2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1° cuota de 12 de $7.590 por estanque de 1.000 lts.</t>
        </r>
      </text>
    </comment>
    <comment ref="B2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SUBSIDIO
Convenio estanque 11 cuotas de $7.580 c/u y la cuota 12 de $7.620</t>
        </r>
      </text>
    </comment>
    <comment ref="H2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$7.580 3° de 12 cuotas por convenio estanque</t>
        </r>
      </text>
    </comment>
    <comment ref="B3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Convenio de pago, 11 cuotas de $10.690 y 1 de $10.610(la última)</t>
        </r>
      </text>
    </comment>
    <comment ref="H3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$10.690 5° cuota de 12 por convenio por morosidad
aviso de corte para el 28-02</t>
        </r>
      </text>
    </comment>
    <comment ref="J3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$10.690 5° cuota de 12 por convenio por morosidad</t>
        </r>
      </text>
    </comment>
    <comment ref="M3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$10.690 6° cuota de 12 por convenio por morosidad</t>
        </r>
      </text>
    </comment>
    <comment ref="H3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28-02</t>
        </r>
      </text>
    </comment>
    <comment ref="H3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30-03</t>
        </r>
      </text>
    </comment>
    <comment ref="B3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 estanque de 2.000 lts</t>
        </r>
      </text>
    </comment>
    <comment ref="H3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4° cuota de 4 de estanque $40.000</t>
        </r>
      </text>
    </comment>
    <comment ref="B3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convenio estanque 2.000 lts. En 10 cuotas de $16.000 c/u</t>
        </r>
      </text>
    </comment>
    <comment ref="H3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cuota estanque</t>
        </r>
      </text>
    </comment>
    <comment ref="B42" authorId="0" shapeId="0">
      <text>
        <r>
          <rPr>
            <b/>
            <sz val="9"/>
            <color indexed="81"/>
            <rFont val="Tahoma"/>
            <family val="2"/>
          </rPr>
          <t xml:space="preserve">Autor:
SUBSIDIO
</t>
        </r>
        <r>
          <rPr>
            <sz val="9"/>
            <color indexed="81"/>
            <rFont val="Tahoma"/>
            <family val="2"/>
          </rPr>
          <t>1 estanque de 1.000 lts.
En 12 cuotas de $7.590
1 estanque de 2.000(cobro aparte)</t>
        </r>
      </text>
    </comment>
    <comment ref="H4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$7.590 4° cuota de 12 de 1 estanque de 1.000 lts.(1 estanque de 2.000 pendiente de pago)</t>
        </r>
      </text>
    </comment>
    <comment ref="B4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SUBSIDIO</t>
        </r>
      </text>
    </comment>
    <comment ref="B4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SUBSIDIO FIDEL QUEZADA RIQUELME</t>
        </r>
      </text>
    </comment>
    <comment ref="H4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$7.590 2° cuota de 12 de estanque</t>
        </r>
      </text>
    </comment>
    <comment ref="B5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 estanque de 1.000 lts.
12 cuotas de $9.100</t>
        </r>
      </text>
    </comment>
    <comment ref="B5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SUBSIDIO MARISOL QUESADA QUIROZ</t>
        </r>
      </text>
    </comment>
    <comment ref="H5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28-02</t>
        </r>
      </text>
    </comment>
    <comment ref="B5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Convenio de pago 6 cuotas de $10.100 c/u</t>
        </r>
      </text>
    </comment>
    <comment ref="H5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$13.340 3° cuota de 12 de estanque de 2.000 lts.
$10.100 5° cuota de convenio por morosidad
aviso de corte por no pago de convenios y nueva morosidad para el 28-02</t>
        </r>
      </text>
    </comment>
    <comment ref="J5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$23.440 total convenios</t>
        </r>
      </text>
    </comment>
    <comment ref="B6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2 estanques de 2.000 c/u </t>
        </r>
      </text>
    </comment>
    <comment ref="H6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cuota estanque</t>
        </r>
      </text>
    </comment>
    <comment ref="B6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Convenio estanque 6 cuotas de $26.700 c/u</t>
        </r>
      </text>
    </comment>
    <comment ref="B6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PARQUE CIPRES II
CARGO FIJO $99.000.- por 33 remarcadores</t>
        </r>
      </text>
    </comment>
    <comment ref="H7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SADO A FAVOR</t>
        </r>
      </text>
    </comment>
    <comment ref="H7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$25.000 2da  de 10 cuota de incorporacion </t>
        </r>
      </text>
    </comment>
    <comment ref="H7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2° cuota de 12 de estanque de 2.000 lts</t>
        </r>
      </text>
    </comment>
    <comment ref="B8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SUBSIDIO CARLOS RIFFO CABEZAS</t>
        </r>
      </text>
    </comment>
    <comment ref="H8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3° cuota de 4 de estanque de 1.000 lts. $22.750</t>
        </r>
      </text>
    </comment>
    <comment ref="B8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 estanque de 1.300 lts.</t>
        </r>
      </text>
    </comment>
    <comment ref="H8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28-02</t>
        </r>
      </text>
    </comment>
    <comment ref="B8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 ESTANQUE DE 3.400 LTS.
9 cuotas de $29.110.-
1 cuota de $29.070.-</t>
        </r>
      </text>
    </comment>
    <comment ref="H8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4° cuota de 10 de estanque $29.110</t>
        </r>
      </text>
    </comment>
    <comment ref="H8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$5.000 convenio</t>
        </r>
      </text>
    </comment>
    <comment ref="H8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30-03</t>
        </r>
      </text>
    </comment>
    <comment ref="G9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proporcional al mes </t>
        </r>
      </text>
    </comment>
    <comment ref="B9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Convenio 1 estanque 1.000 lts. 6 cuotas de $15.170 c/u</t>
        </r>
      </text>
    </comment>
    <comment ref="H9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3° cuota estanque</t>
        </r>
      </text>
    </comment>
    <comment ref="B9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1.000 lts.</t>
        </r>
      </text>
    </comment>
    <comment ref="H9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$18.200 4° cuota de 5 estanque</t>
        </r>
      </text>
    </comment>
    <comment ref="J92" authorId="0" shapeId="0">
      <text>
        <r>
          <rPr>
            <b/>
            <sz val="9"/>
            <color indexed="81"/>
            <rFont val="Tahoma"/>
            <family val="2"/>
          </rPr>
          <t>Autor:
$18.200 4° cuota de 5 de estanque</t>
        </r>
      </text>
    </comment>
    <comment ref="H9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30-03</t>
        </r>
      </text>
    </comment>
    <comment ref="B9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 estanque de 1.000 lts.
En 4 cuotas de $22.750.-</t>
        </r>
      </text>
    </comment>
    <comment ref="H9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$20.500 4°CUOTA DE 4 DE ESTANQUE</t>
        </r>
      </text>
    </comment>
    <comment ref="H9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$13.340 4° cuota de 12 de estanque</t>
        </r>
      </text>
    </comment>
    <comment ref="H9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28-02</t>
        </r>
      </text>
    </comment>
    <comment ref="H9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2° cuota estanque de 1.300 lts $17.340</t>
        </r>
      </text>
    </comment>
    <comment ref="B10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Convenio estanque 4 cuotas de $28.000 c/u</t>
        </r>
      </text>
    </comment>
    <comment ref="H10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30-03</t>
        </r>
      </text>
    </comment>
    <comment ref="B10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 estanque de 2.000 lts.
En 12 cuotas de $13.340.-</t>
        </r>
      </text>
    </comment>
    <comment ref="H10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4° cuota de 12 $13.340 por estanque 
</t>
        </r>
      </text>
    </comment>
    <comment ref="B10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 estanque de 1.300 lts. En 10 cuotas de $11.200</t>
        </r>
      </text>
    </comment>
    <comment ref="H10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$11.200 3° cuota de 10 de estanque</t>
        </r>
      </text>
    </comment>
    <comment ref="B10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SUBSIDIO</t>
        </r>
      </text>
    </comment>
    <comment ref="B108" authorId="0" shapeId="0">
      <text>
        <r>
          <rPr>
            <b/>
            <u/>
            <sz val="11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SUBSIDIO</t>
        </r>
        <r>
          <rPr>
            <sz val="9"/>
            <color indexed="81"/>
            <rFont val="Tahoma"/>
            <family val="2"/>
          </rPr>
          <t xml:space="preserve">
1 estanque de 2.000 lts.</t>
        </r>
      </text>
    </comment>
    <comment ref="B116" authorId="0" shapeId="0">
      <text>
        <r>
          <rPr>
            <b/>
            <u/>
            <sz val="11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SUBSIDIO</t>
        </r>
        <r>
          <rPr>
            <sz val="9"/>
            <color indexed="81"/>
            <rFont val="Tahoma"/>
            <family val="2"/>
          </rPr>
          <t xml:space="preserve">
1 estanque de 2.000 lts.</t>
        </r>
      </text>
    </comment>
    <comment ref="H11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4° cuota de 8 de estanque $20.000</t>
        </r>
      </text>
    </comment>
    <comment ref="B11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 estanque de 1.300 lts.</t>
        </r>
      </text>
    </comment>
    <comment ref="H11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$9.820 4° cuota de 12 de estanque de 1.300 lts.</t>
        </r>
      </text>
    </comment>
    <comment ref="J11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$9.820 4° cuota de 12 de estanque de 1.300 lts.</t>
        </r>
      </text>
    </comment>
    <comment ref="B12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SUBSIDIO</t>
        </r>
      </text>
    </comment>
    <comment ref="G12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SIN LECTURA</t>
        </r>
      </text>
    </comment>
    <comment ref="B12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IGLESIA EVANGELICA VILLA ALEGRE</t>
        </r>
      </text>
    </comment>
    <comment ref="B12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 estanque de 1.000 lts.</t>
        </r>
      </text>
    </comment>
    <comment ref="H12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$9.100 2° CUOTA DE 10 DE ESTANQUE </t>
        </r>
      </text>
    </comment>
    <comment ref="G12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SIN LECTURA</t>
        </r>
      </text>
    </comment>
    <comment ref="B12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N° CONTACTO 982279000</t>
        </r>
      </text>
    </comment>
    <comment ref="B12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 estanque de 1.000 lts
12 cuotas de $7.590</t>
        </r>
      </text>
    </comment>
    <comment ref="H12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$7.590, 4° cuota de 12 de estanque de 1.000 lts</t>
        </r>
      </text>
    </comment>
    <comment ref="M12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$7.590, 5° cuota de 12 de estanque de 1.000 lts</t>
        </r>
      </text>
    </comment>
    <comment ref="B130" authorId="0" shapeId="0">
      <text>
        <r>
          <rPr>
            <b/>
            <u/>
            <sz val="11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 xml:space="preserve">SUBSIDIO JUANA VILLAGRAN AVILA
</t>
        </r>
        <r>
          <rPr>
            <sz val="8"/>
            <color indexed="81"/>
            <rFont val="Tahoma"/>
            <family val="2"/>
          </rPr>
          <t>1 estanque de 1.300 lts.</t>
        </r>
      </text>
    </comment>
    <comment ref="H13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4° cuota de 10 $11.800 de estanque</t>
        </r>
      </text>
    </comment>
    <comment ref="B13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SUBSIDIO ROSA AVILA MUÑOZ</t>
        </r>
      </text>
    </comment>
    <comment ref="B14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2 estanques de 1.000 lts. c/u</t>
        </r>
      </text>
    </comment>
    <comment ref="H14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28-02</t>
        </r>
      </text>
    </comment>
    <comment ref="B150" authorId="0" shapeId="0">
      <text>
        <r>
          <rPr>
            <b/>
            <u/>
            <sz val="8"/>
            <color indexed="81"/>
            <rFont val="Tahoma"/>
            <family val="2"/>
          </rPr>
          <t>Autor:</t>
        </r>
        <r>
          <rPr>
            <sz val="8"/>
            <color indexed="81"/>
            <rFont val="Tahoma"/>
            <family val="2"/>
          </rPr>
          <t xml:space="preserve">
SUBSIDIO  JOSE ROSALINO SANDOVAL CASTILLO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2 estanques 1.000 lts.
4 CUOTAS DE $22.750
3 CUOTAS DE $30.340</t>
        </r>
      </text>
    </comment>
    <comment ref="H15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4° cuota de 4 de estanque</t>
        </r>
      </text>
    </comment>
    <comment ref="J15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$1.500 saldo a favor</t>
        </r>
      </text>
    </comment>
    <comment ref="B15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 estanque de 2.000 lts. En 6 cuotas de $26.670</t>
        </r>
      </text>
    </comment>
    <comment ref="H15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$26.670 3° cuota de 6 de estanque</t>
        </r>
      </text>
    </comment>
    <comment ref="J15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$26.670 3° cuota de 6 de estanque</t>
        </r>
      </text>
    </comment>
    <comment ref="H15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saldo a favor</t>
        </r>
      </text>
    </comment>
    <comment ref="B15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 estanque de 2.000 lts.</t>
        </r>
      </text>
    </comment>
    <comment ref="H15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1ERA DE 12 CUOTA ESTANQUE 13340</t>
        </r>
      </text>
    </comment>
    <comment ref="J15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1ERA DE 12 CUOTA ESTANQUE 13340</t>
        </r>
      </text>
    </comment>
    <comment ref="B159" authorId="0" shapeId="0">
      <text>
        <r>
          <rPr>
            <b/>
            <u/>
            <sz val="10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JUAN LUIS COFRE CERNA</t>
        </r>
        <r>
          <rPr>
            <sz val="9"/>
            <color indexed="81"/>
            <rFont val="Tahoma"/>
            <family val="2"/>
          </rPr>
          <t xml:space="preserve">
1 estanque de 2.000 lts.
En 12 cuotas de $13.340</t>
        </r>
      </text>
    </comment>
    <comment ref="H15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30-03</t>
        </r>
      </text>
    </comment>
    <comment ref="J15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$13.340 4° cuota de 12 de estanque de 2.000 lts.</t>
        </r>
      </text>
    </comment>
    <comment ref="B16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JUAN LUIS COFRE CERNA</t>
        </r>
      </text>
    </comment>
    <comment ref="B16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MARIA ALARCON</t>
        </r>
      </text>
    </comment>
    <comment ref="B16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JUAN MARCELO BASCUÑAN SOTO</t>
        </r>
      </text>
    </comment>
    <comment ref="B16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 estanque de 2.000 lts.</t>
        </r>
      </text>
    </comment>
    <comment ref="B16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2 estanques de 1.300 lts c/u</t>
        </r>
      </text>
    </comment>
    <comment ref="H16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cuota estanque</t>
        </r>
      </text>
    </comment>
    <comment ref="J16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$18.670 4° cuota de 12 de 2 estanques de 1.300 lts.</t>
        </r>
      </text>
    </comment>
    <comment ref="B16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2 estanques 
-1 de 3.500 lts.
-1 de 2.000 lts.
</t>
        </r>
      </text>
    </comment>
    <comment ref="H16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28-02</t>
        </r>
      </text>
    </comment>
    <comment ref="B17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 Estanque de 2.000 lts.</t>
        </r>
      </text>
    </comment>
    <comment ref="E17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MEDIDOR MALO</t>
        </r>
      </text>
    </comment>
    <comment ref="F17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MEDIDOR MALO</t>
        </r>
      </text>
    </comment>
    <comment ref="H17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 28-02</t>
        </r>
      </text>
    </comment>
    <comment ref="G17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SIN LECTURA</t>
        </r>
      </text>
    </comment>
    <comment ref="B18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 estanque de 2.000 lts.
En 6 cuotas de $26.670.-</t>
        </r>
      </text>
    </comment>
    <comment ref="H185" authorId="0" shapeId="0">
      <text>
        <r>
          <rPr>
            <b/>
            <sz val="9"/>
            <color indexed="81"/>
            <rFont val="Tahoma"/>
            <family val="2"/>
          </rPr>
          <t xml:space="preserve">APR STA FILOMENA
</t>
        </r>
        <r>
          <rPr>
            <sz val="9"/>
            <color indexed="81"/>
            <rFont val="Tahoma"/>
            <family val="2"/>
          </rPr>
          <t>$26.670 4° cuota de 6 de estanque</t>
        </r>
      </text>
    </comment>
    <comment ref="B18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 estanque de 2.000 lts en 6 cuotas de $26.670</t>
        </r>
      </text>
    </comment>
    <comment ref="H186" authorId="0" shapeId="0">
      <text>
        <r>
          <rPr>
            <b/>
            <sz val="9"/>
            <color indexed="81"/>
            <rFont val="Tahoma"/>
            <family val="2"/>
          </rPr>
          <t xml:space="preserve">APR STA FILOMENA
</t>
        </r>
        <r>
          <rPr>
            <sz val="9"/>
            <color indexed="81"/>
            <rFont val="Tahoma"/>
            <family val="2"/>
          </rPr>
          <t>$26.670 4° cuota de 6 de estanque</t>
        </r>
      </text>
    </comment>
    <comment ref="B19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Convenio por 1 estanque de 1.000 lts.
12 cuotas de $7.590 c/u</t>
        </r>
      </text>
    </comment>
    <comment ref="H19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$7.590 5° cuota de 12 de estanque</t>
        </r>
      </text>
    </comment>
    <comment ref="H19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aviso de corte para el 30-03</t>
        </r>
      </text>
    </comment>
    <comment ref="H20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3° CUOTA DE 6 DE ESTANQUE</t>
        </r>
      </text>
    </comment>
  </commentList>
</comments>
</file>

<file path=xl/comments15.xml><?xml version="1.0" encoding="utf-8"?>
<comments xmlns="http://schemas.openxmlformats.org/spreadsheetml/2006/main">
  <authors>
    <author>Autor</author>
  </authors>
  <commentList>
    <comment ref="B6" authorId="0" shapeId="0">
      <text>
        <r>
          <rPr>
            <b/>
            <sz val="9"/>
            <color indexed="81"/>
            <rFont val="Tahoma"/>
            <family val="2"/>
          </rPr>
          <t>Autor:
SUBSIDIO</t>
        </r>
      </text>
    </comment>
    <comment ref="B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Brígida Rodríguez tesorera</t>
        </r>
      </text>
    </comment>
    <comment ref="B1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ENCARGADO 
Eligio San Martín</t>
        </r>
      </text>
    </comment>
    <comment ref="B1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COLEGIO CAHE</t>
        </r>
      </text>
    </comment>
    <comment ref="B1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GIMNASIO CAHE</t>
        </r>
      </text>
    </comment>
    <comment ref="B2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N° DE CONTACTO HUGO RIVERA JELDRES +56997762542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1° cuota de 12 de $7.590 por estanque de 1.000 lts.</t>
        </r>
      </text>
    </comment>
    <comment ref="B2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SUBSIDIO
Convenio estanque 11 cuotas de $7.580 c/u y la cuota 12 de $7.620</t>
        </r>
      </text>
    </comment>
    <comment ref="H28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4 dfe 12 cuota estanque</t>
        </r>
      </text>
    </comment>
    <comment ref="B3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Convenio de pago, 11 cuotas de $10.690 y 1 de $10.610(la última)</t>
        </r>
      </text>
    </comment>
    <comment ref="H3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$10.690 6° cuota de 12 por convenio por morosidad</t>
        </r>
      </text>
    </comment>
    <comment ref="J3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$10.690 5° cuota de 12 por convenio por morosidad</t>
        </r>
      </text>
    </comment>
    <comment ref="B3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 estanque de 2.000 lts</t>
        </r>
      </text>
    </comment>
    <comment ref="B3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convenio estanque 2.000 lts. En 10 cuotas de $16.000 c/u</t>
        </r>
      </text>
    </comment>
    <comment ref="B41" authorId="0" shapeId="0">
      <text>
        <r>
          <rPr>
            <b/>
            <sz val="9"/>
            <color indexed="81"/>
            <rFont val="Tahoma"/>
            <family val="2"/>
          </rPr>
          <t xml:space="preserve">Autor:
SUBSIDIO
</t>
        </r>
        <r>
          <rPr>
            <sz val="9"/>
            <color indexed="81"/>
            <rFont val="Tahoma"/>
            <family val="2"/>
          </rPr>
          <t>1 estanque de 1.000 lts.
En 12 cuotas de $7.590
1 estanque de 2.000(cobro aparte)</t>
        </r>
      </text>
    </comment>
    <comment ref="B4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SUBSIDIO</t>
        </r>
      </text>
    </comment>
    <comment ref="B4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SUBSIDIO FIDEL QUEZADA RIQUELME</t>
        </r>
      </text>
    </comment>
    <comment ref="H4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cuota estanque 3 de 12</t>
        </r>
      </text>
    </comment>
    <comment ref="B4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 estanque de 1.000 lts.
12 cuotas de $9.100</t>
        </r>
      </text>
    </comment>
    <comment ref="B5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SUBSIDIO MARISOL QUESADA QUIROZ</t>
        </r>
      </text>
    </comment>
    <comment ref="B5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Convenio de pago 6 cuotas de $10.100 c/u</t>
        </r>
      </text>
    </comment>
    <comment ref="J5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$23.440 total convenios</t>
        </r>
      </text>
    </comment>
    <comment ref="B5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2 estanques de 2.000 c/u </t>
        </r>
      </text>
    </comment>
    <comment ref="B6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Convenio estanque 6 cuotas de $26.700 c/u</t>
        </r>
      </text>
    </comment>
    <comment ref="B6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PARQUE CIPRES II
CARGO FIJO $99.000.- por 33 remarcadores</t>
        </r>
      </text>
    </comment>
    <comment ref="H7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cuota incorporacion</t>
        </r>
      </text>
    </comment>
    <comment ref="B8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SUBSIDIO CARLOS RIFFO CABEZAS</t>
        </r>
      </text>
    </comment>
    <comment ref="B8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 estanque de 1.300 lts.</t>
        </r>
      </text>
    </comment>
    <comment ref="B8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 ESTANQUE DE 3.400 LTS.
9 cuotas de $29.110.-
1 cuota de $29.070.-</t>
        </r>
      </text>
    </comment>
    <comment ref="H85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CUOTA ESTANQUE
5 DE 10</t>
        </r>
      </text>
    </comment>
    <comment ref="B9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Convenio 1 estanque 1.000 lts. 6 cuotas de $15.170 c/u</t>
        </r>
      </text>
    </comment>
    <comment ref="H90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CUOTA ESTANQUE</t>
        </r>
      </text>
    </comment>
    <comment ref="B9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1.000 lts.</t>
        </r>
      </text>
    </comment>
    <comment ref="B9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 estanque de 1.000 lts.
En 4 cuotas de $22.750.-</t>
        </r>
      </text>
    </comment>
    <comment ref="H98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3 CUOTA DE ESTANQUE</t>
        </r>
      </text>
    </comment>
    <comment ref="B9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Convenio estanque 4 cuotas de $28.000 c/u</t>
        </r>
      </text>
    </comment>
    <comment ref="B10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 estanque de 2.000 lts.
En 12 cuotas de $13.340.-</t>
        </r>
      </text>
    </comment>
    <comment ref="B10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 estanque de 1.300 lts. En 10 cuotas de $11.200</t>
        </r>
      </text>
    </comment>
    <comment ref="B10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SUBSIDIO</t>
        </r>
      </text>
    </comment>
    <comment ref="B107" authorId="0" shapeId="0">
      <text>
        <r>
          <rPr>
            <b/>
            <u/>
            <sz val="11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SUBSIDIO</t>
        </r>
        <r>
          <rPr>
            <sz val="9"/>
            <color indexed="81"/>
            <rFont val="Tahoma"/>
            <family val="2"/>
          </rPr>
          <t xml:space="preserve">
1 estanque de 2.000 lts.</t>
        </r>
      </text>
    </comment>
    <comment ref="B115" authorId="0" shapeId="0">
      <text>
        <r>
          <rPr>
            <b/>
            <u/>
            <sz val="11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SUBSIDIO</t>
        </r>
        <r>
          <rPr>
            <sz val="9"/>
            <color indexed="81"/>
            <rFont val="Tahoma"/>
            <family val="2"/>
          </rPr>
          <t xml:space="preserve">
1 estanque de 2.000 lts.</t>
        </r>
      </text>
    </comment>
    <comment ref="H115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cuota de estanque 
5 de 8</t>
        </r>
      </text>
    </comment>
    <comment ref="B11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 estanque de 1.300 lts.</t>
        </r>
      </text>
    </comment>
    <comment ref="B11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SUBSIDIO</t>
        </r>
      </text>
    </comment>
    <comment ref="B12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IGLESIA EVANGELICA VILLA ALEGRE</t>
        </r>
      </text>
    </comment>
    <comment ref="B12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 estanque de 1.000 lts.</t>
        </r>
      </text>
    </comment>
    <comment ref="B12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N° CONTACTO 982279000</t>
        </r>
      </text>
    </comment>
    <comment ref="B12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 estanque de 1.000 lts
12 cuotas de $7.590</t>
        </r>
      </text>
    </comment>
    <comment ref="B129" authorId="0" shapeId="0">
      <text>
        <r>
          <rPr>
            <b/>
            <u/>
            <sz val="11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 xml:space="preserve">SUBSIDIO JUANA VILLAGRAN AVILA
</t>
        </r>
        <r>
          <rPr>
            <sz val="8"/>
            <color indexed="81"/>
            <rFont val="Tahoma"/>
            <family val="2"/>
          </rPr>
          <t>1 estanque de 1.300 lts.</t>
        </r>
      </text>
    </comment>
    <comment ref="B13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SUBSIDIO ROSA AVILA MUÑOZ</t>
        </r>
      </text>
    </comment>
    <comment ref="B14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2 estanques de 1.000 lts. c/u</t>
        </r>
      </text>
    </comment>
    <comment ref="B149" authorId="0" shapeId="0">
      <text>
        <r>
          <rPr>
            <b/>
            <u/>
            <sz val="8"/>
            <color indexed="81"/>
            <rFont val="Tahoma"/>
            <family val="2"/>
          </rPr>
          <t>Autor:</t>
        </r>
        <r>
          <rPr>
            <sz val="8"/>
            <color indexed="81"/>
            <rFont val="Tahoma"/>
            <family val="2"/>
          </rPr>
          <t xml:space="preserve">
SUBSIDIO  JOSE ROSALINO SANDOVAL CASTILLO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2 estanques 1.000 lts.
4 CUOTAS DE $22.750
3 CUOTAS DE $30.340</t>
        </r>
      </text>
    </comment>
    <comment ref="B15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 estanque de 2.000 lts. En 6 cuotas de $26.670</t>
        </r>
      </text>
    </comment>
    <comment ref="B15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 estanque de 2.000 lts.</t>
        </r>
      </text>
    </comment>
    <comment ref="B158" authorId="0" shapeId="0">
      <text>
        <r>
          <rPr>
            <b/>
            <u/>
            <sz val="10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JUAN LUIS COFRE CERNA</t>
        </r>
        <r>
          <rPr>
            <sz val="9"/>
            <color indexed="81"/>
            <rFont val="Tahoma"/>
            <family val="2"/>
          </rPr>
          <t xml:space="preserve">
1 estanque de 2.000 lts.
En 12 cuotas de $13.340</t>
        </r>
      </text>
    </comment>
    <comment ref="B15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JUAN LUIS COFRE CERNA</t>
        </r>
      </text>
    </comment>
    <comment ref="B16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MARIA ALARCON</t>
        </r>
      </text>
    </comment>
    <comment ref="B16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JUAN MARCELO BASCUÑAN SOTO</t>
        </r>
      </text>
    </comment>
    <comment ref="B16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 estanque de 2.000 lts.</t>
        </r>
      </text>
    </comment>
    <comment ref="B16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2 estanques de 1.300 lts c/u</t>
        </r>
      </text>
    </comment>
    <comment ref="H16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cuota estanque 18.670</t>
        </r>
      </text>
    </comment>
    <comment ref="B16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2 estanques 
-1 de 3.500 lts.
-1 de 2.000 lts.
</t>
        </r>
      </text>
    </comment>
    <comment ref="B17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 Estanque de 2.000 lts.</t>
        </r>
      </text>
    </comment>
    <comment ref="E17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MEDIDOR MALO</t>
        </r>
      </text>
    </comment>
    <comment ref="B18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 estanque de 2.000 lts.
En 6 cuotas de $26.670.-</t>
        </r>
      </text>
    </comment>
    <comment ref="H18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cuota estanque</t>
        </r>
      </text>
    </comment>
    <comment ref="B18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 estanque de 2.000 lts en 6 cuotas de $26.670</t>
        </r>
      </text>
    </comment>
    <comment ref="B18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Convenio por 1 estanque de 1.000 lts.
12 cuotas de $7.590 c/u</t>
        </r>
      </text>
    </comment>
    <comment ref="H18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cuota de estanque</t>
        </r>
      </text>
    </comment>
  </commentList>
</comments>
</file>

<file path=xl/sharedStrings.xml><?xml version="1.0" encoding="utf-8"?>
<sst xmlns="http://schemas.openxmlformats.org/spreadsheetml/2006/main" count="8976" uniqueCount="463">
  <si>
    <t>NOMBRE</t>
  </si>
  <si>
    <t>RUT</t>
  </si>
  <si>
    <t>DOMICILIO</t>
  </si>
  <si>
    <t>N°</t>
  </si>
  <si>
    <t>SEDE VILLA ALEGRE</t>
  </si>
  <si>
    <t>PEDREGOSO</t>
  </si>
  <si>
    <t>13.067.639-1</t>
  </si>
  <si>
    <t xml:space="preserve">PEDREGOSO </t>
  </si>
  <si>
    <t xml:space="preserve"> </t>
  </si>
  <si>
    <t>ENERO</t>
  </si>
  <si>
    <t>M3</t>
  </si>
  <si>
    <t>TOTAL</t>
  </si>
  <si>
    <t>ABONO</t>
  </si>
  <si>
    <t>S.PENDIENTE</t>
  </si>
  <si>
    <t>JULIA PALMA GOMEZ</t>
  </si>
  <si>
    <t>IGLESIA CATOLICA</t>
  </si>
  <si>
    <t>JOSE VASQUEZ MUÑOZ</t>
  </si>
  <si>
    <t>JUAN DAGOBERTO RODRIGUEZ ROJAS</t>
  </si>
  <si>
    <t>YARIXZA VALERIA RODRIGUEZ R.</t>
  </si>
  <si>
    <t>IGLESIA EVANGELICA PEDREGOSO</t>
  </si>
  <si>
    <t>MARISOL RODRIGUEZ ROJAS</t>
  </si>
  <si>
    <t>RAQUEL ANGELICA RODRIGUEZ ROJAS</t>
  </si>
  <si>
    <t>JOSE LUIS VASQUEZ SEPULVEDA</t>
  </si>
  <si>
    <t>C.EDUCACIONAL MARIA TEREZA</t>
  </si>
  <si>
    <t>NORA NIDIA SUAZO MUÑOZ</t>
  </si>
  <si>
    <t>CARIEM ARIAS SUAZO</t>
  </si>
  <si>
    <t>ALIRO ERNESTO JELDRES TRONCOSO</t>
  </si>
  <si>
    <t>C. EDUCIONAL MARIA TERZA</t>
  </si>
  <si>
    <t>MARGARITA DE LA MERCEDESJELDRES TRONCOSO</t>
  </si>
  <si>
    <t>EDUVINA DEL CARMEN LEIVA</t>
  </si>
  <si>
    <t>HECTOR ARMIN COFRE LEIVA</t>
  </si>
  <si>
    <t>ALAN GONZALO LEIVA CHAVEZ</t>
  </si>
  <si>
    <t>YOLANDA DEL CARMEN COFRE LEIVA</t>
  </si>
  <si>
    <t>VICTOR CRISTIAN AREVALO SILVA</t>
  </si>
  <si>
    <t>FRANCISCO JAVIER ROJAS ARAYA</t>
  </si>
  <si>
    <t>JOSE RUBEN JELDRES TRONCOSO</t>
  </si>
  <si>
    <t>JOSE ERASMO COFRE GARCES</t>
  </si>
  <si>
    <t>CARMEN MONICA QUEZADA QUIROZ</t>
  </si>
  <si>
    <t>MIRIAM DE LAS MERCEDES SOTO SALINAS</t>
  </si>
  <si>
    <t>CLOTILDE DEL CARMEN SOTO SALINAS</t>
  </si>
  <si>
    <t>ENRIQUE SEGUNDO SOTO SALINAS</t>
  </si>
  <si>
    <t>JULIO PUEBLA</t>
  </si>
  <si>
    <t>JOSE ENRIQUE LIZAMA CHAVEZ</t>
  </si>
  <si>
    <t>MARIO MARCELO LIZAMA CHAVEZ</t>
  </si>
  <si>
    <t>JOSE LUIS MEDINA JELDRES</t>
  </si>
  <si>
    <t>JIMENA ANDREA MEDINA FERNANDEZ</t>
  </si>
  <si>
    <t>JUAN GILBERTO SILVA PALMA</t>
  </si>
  <si>
    <t>BRIGIDA JUANA RODRIGUEZ SILVA</t>
  </si>
  <si>
    <t>EMPERATRIZ SEPULVEDA GALLEGOS</t>
  </si>
  <si>
    <t>MARTA ISABEL TORO MENDEZ</t>
  </si>
  <si>
    <t>JUAN HERNAN FERNANDEZ CASTILLO</t>
  </si>
  <si>
    <t>IRIS LOURDES CARDENAS HENRIQUEZ</t>
  </si>
  <si>
    <t>CORNELIO DELTRANSITO QUEZADA RODRIGUEZ</t>
  </si>
  <si>
    <t>OSCAR FERNANDO GALLEGOS</t>
  </si>
  <si>
    <t>JUANA DEL CARMEN QUEZADA RODRIGUEZ</t>
  </si>
  <si>
    <t>JOSE ABELINO VASQUEZ MONTECINOS</t>
  </si>
  <si>
    <t>EDUARDO ENRIQUE QUEZADA ORTIZ</t>
  </si>
  <si>
    <t>LUIS ARNALDO PEREZ FERNANDEZ</t>
  </si>
  <si>
    <t>NORMA ANDRE VILLAMAYOR FERNANDEZ</t>
  </si>
  <si>
    <t>ELIGIO CIRO PEDRERO ARCOS</t>
  </si>
  <si>
    <t>ENRIQUE FERNANDO PEREZ FERNANDEZ</t>
  </si>
  <si>
    <t>JOSE VICTOR LARA MATURANA</t>
  </si>
  <si>
    <t>ELIANA VICTORIA DE MIGUEL POHL</t>
  </si>
  <si>
    <t>PALOMA DAYANA VASQUEZ VASQUEZ</t>
  </si>
  <si>
    <t xml:space="preserve">LUIS JAVIER VASQUEZ MUÑOZ </t>
  </si>
  <si>
    <t>JEANETTE CARMEN VASQUEZ MUÑOZ</t>
  </si>
  <si>
    <t>MARIA ELIANA VASQUEZ MUÑOZ</t>
  </si>
  <si>
    <t>RAUL CUSTODIO VASQUEZ MUÑOZ</t>
  </si>
  <si>
    <t>CAROLINA DEL ROSARIO SANCHES HENRIQUEZ</t>
  </si>
  <si>
    <t>WALTER HUGO BOEHMWALD SOTO</t>
  </si>
  <si>
    <t xml:space="preserve">EDUARDO HERMINIO RODRIGUEZ ZUÑIGA </t>
  </si>
  <si>
    <t>MONICA PAMELA PEREZ MORENO</t>
  </si>
  <si>
    <t>DEBORA LUIZA MUÑOZ BARRA</t>
  </si>
  <si>
    <t>SOLEDAD ARELLANO NAVARRO</t>
  </si>
  <si>
    <t xml:space="preserve">LUIS CEFERINO ALVEAL ESPINOZA </t>
  </si>
  <si>
    <t>MARTA PATRICIA MATEU UGARTE</t>
  </si>
  <si>
    <t>MARIO ANDRES RIERA LARA</t>
  </si>
  <si>
    <t>VIVIANA GODOY MUÑOZ</t>
  </si>
  <si>
    <t>FRANCISCO JAVIER DIEGUES MANFREDINI</t>
  </si>
  <si>
    <t>6.318.014-9</t>
  </si>
  <si>
    <t>JORGE JAVIER NORAMBUENA QUIDEL</t>
  </si>
  <si>
    <t>13.810.657-8</t>
  </si>
  <si>
    <t>12.473.747-8</t>
  </si>
  <si>
    <t>12.412.594-4</t>
  </si>
  <si>
    <t>CARLOS ABERTO BARRERA MOYA</t>
  </si>
  <si>
    <t>5.840.704-6</t>
  </si>
  <si>
    <t>12.742.929-4</t>
  </si>
  <si>
    <t>15.732.768-2</t>
  </si>
  <si>
    <t>9.096.681-2</t>
  </si>
  <si>
    <t>10.707.834-7</t>
  </si>
  <si>
    <t>8.603.920-6</t>
  </si>
  <si>
    <t>FEBRERO</t>
  </si>
  <si>
    <t>MARZO</t>
  </si>
  <si>
    <t>ABRIL</t>
  </si>
  <si>
    <t>OCTUBRE</t>
  </si>
  <si>
    <t>SEPTIEMBRE</t>
  </si>
  <si>
    <t>AGOSTO</t>
  </si>
  <si>
    <t>JULIO</t>
  </si>
  <si>
    <t>JUNIO</t>
  </si>
  <si>
    <t>MAYO</t>
  </si>
  <si>
    <t>5.695.754-5</t>
  </si>
  <si>
    <t>6.915.508-1</t>
  </si>
  <si>
    <t>MAGDALENA DEL TRANSITO CARRASCO TORRES</t>
  </si>
  <si>
    <t>6.986.076-1</t>
  </si>
  <si>
    <t>JOSE PABLO QUEZADA HENRRIQUEZ</t>
  </si>
  <si>
    <t>MARIA CECILIA QUEZDA HENRIQUEZ</t>
  </si>
  <si>
    <t>11.323.241-2</t>
  </si>
  <si>
    <t>JOSE BERNARDO RIFFO CARRASCO</t>
  </si>
  <si>
    <t>ELBA ZUNILDA SEGUEL COFRE</t>
  </si>
  <si>
    <t>BERNARDITA ANDREA VERGARA SILVA</t>
  </si>
  <si>
    <t>12.505.321-1</t>
  </si>
  <si>
    <t>15.254.417-0</t>
  </si>
  <si>
    <t>MATIAS ERNESTO CERRO SANDOVAL</t>
  </si>
  <si>
    <t>16.807.883-8</t>
  </si>
  <si>
    <t>FRANCISCO MEDINA VERGARA</t>
  </si>
  <si>
    <t>16.913.479-0</t>
  </si>
  <si>
    <t>MANUEL SALINAS VALLEJOS</t>
  </si>
  <si>
    <t>SANTIAGO EDUARDO CARRASCO NAVARETE</t>
  </si>
  <si>
    <t>15.579.206-K</t>
  </si>
  <si>
    <t>NANCY MARIBEL SAN MARTIN AGUILERA</t>
  </si>
  <si>
    <t>13.156.599-2</t>
  </si>
  <si>
    <t>MARIA SOLEDAD ALARCON SANDOVAL</t>
  </si>
  <si>
    <t>11.128.452-0</t>
  </si>
  <si>
    <t>JOSE RAMON ALARCON SANDOVAL</t>
  </si>
  <si>
    <t>12.742.659-7</t>
  </si>
  <si>
    <t>YOHANA CAROLINA SANDOVAL SANDOVAL</t>
  </si>
  <si>
    <t>15.579.244-2</t>
  </si>
  <si>
    <t>CELSO SEBASTIAN FLORES RIVERA</t>
  </si>
  <si>
    <t>11.969.281-4</t>
  </si>
  <si>
    <t>ROBINSON ENRIQUE ALARCON OBREQUE</t>
  </si>
  <si>
    <t>10.596793-4</t>
  </si>
  <si>
    <t>SERGIO ORLANDO FLORES RIVERA</t>
  </si>
  <si>
    <t>9.531.216-0</t>
  </si>
  <si>
    <t xml:space="preserve">HERNANDO GUTIERREZ VEGA </t>
  </si>
  <si>
    <t>3.33.146.-0</t>
  </si>
  <si>
    <t>ARMANDO SANDOVAL VASQUEZ</t>
  </si>
  <si>
    <t>5.537.907-6</t>
  </si>
  <si>
    <t>LEONOR ESMERITA ARAYA ARAYA</t>
  </si>
  <si>
    <t>13.814.081-4</t>
  </si>
  <si>
    <t>MARGARITA SALOME ARAYA CEBALLOS</t>
  </si>
  <si>
    <t>9.341.437-3</t>
  </si>
  <si>
    <t>MAURICIO QUEZADA ARAYA</t>
  </si>
  <si>
    <t>16.205.167-9</t>
  </si>
  <si>
    <t>VERONICA ANGELICA QUEZADA ARAYA</t>
  </si>
  <si>
    <t>16.815.174-8</t>
  </si>
  <si>
    <t>FIDEL ANTONIO QUESADA RODRIGUEZ</t>
  </si>
  <si>
    <t>8.255.890-K</t>
  </si>
  <si>
    <t>HERNANDO HEMERSON ALARCON OBREQUE</t>
  </si>
  <si>
    <t>9.551.342-5</t>
  </si>
  <si>
    <t>NATALY ARAVENA CARRASCO</t>
  </si>
  <si>
    <t>17.115.996-2</t>
  </si>
  <si>
    <t>HERNALDO ANTONIO ARAVENA CARRASCO</t>
  </si>
  <si>
    <t>16.534.479-0</t>
  </si>
  <si>
    <t>HERMINDA DELICIA CARRASCO SAN MARTIN</t>
  </si>
  <si>
    <t>10.106.454-9</t>
  </si>
  <si>
    <t>HECTOR ZENEN ARAVENA DURAN</t>
  </si>
  <si>
    <t>8.369.484-K</t>
  </si>
  <si>
    <t>CESAR HERNAN ARAVENA CARRASCO</t>
  </si>
  <si>
    <t>15.578.966-2</t>
  </si>
  <si>
    <t>TIRZO FELIX NAVARRETE PINO</t>
  </si>
  <si>
    <t>6.467.764-0</t>
  </si>
  <si>
    <t>ELISA GARRIDO FIGUEROA</t>
  </si>
  <si>
    <t>6.633.679-4</t>
  </si>
  <si>
    <t>ARIEL ALFREDO RAMIREZ JARA</t>
  </si>
  <si>
    <t>14.386.532-0</t>
  </si>
  <si>
    <t>FERNANDO ANTONIO SEPULVEDA JARA</t>
  </si>
  <si>
    <t>7.210.951-1</t>
  </si>
  <si>
    <t>FRANCISCO LEOPOLDO MORAGA ARAYA</t>
  </si>
  <si>
    <t>8.888.455-8</t>
  </si>
  <si>
    <t>NELSON LUIS AGUILERA COFRE</t>
  </si>
  <si>
    <t>14.078.608-K</t>
  </si>
  <si>
    <t>GABRIEL SANDOVAL CASTILLO</t>
  </si>
  <si>
    <t>6.915.500-6</t>
  </si>
  <si>
    <t>BERNARDITA DELCARMEN CASTRO SOLIS</t>
  </si>
  <si>
    <t>10.450.359-4</t>
  </si>
  <si>
    <t>LUIS DAGOBERTO QUEZADA TORRES</t>
  </si>
  <si>
    <t>9.235.856-9</t>
  </si>
  <si>
    <t>GERARDO OBED SANDOVAL SOTO</t>
  </si>
  <si>
    <t>14.517.560-7</t>
  </si>
  <si>
    <t>GASTON LUIS ALARCON OBREQUE</t>
  </si>
  <si>
    <t>10.829.856-1</t>
  </si>
  <si>
    <t>ROSA ELCIRA MORAGA FLORES</t>
  </si>
  <si>
    <t>8.021.944-K</t>
  </si>
  <si>
    <t>VICTOR NEIRA SANHUEZA</t>
  </si>
  <si>
    <t>9.087.844-1</t>
  </si>
  <si>
    <t>MANUEL ARTURO MIRANDA CALFILAF</t>
  </si>
  <si>
    <t>15.578.801-1</t>
  </si>
  <si>
    <t>MIRIAM CARMEN VILLAGRAN MUÑOZ</t>
  </si>
  <si>
    <t>10.478.274-2</t>
  </si>
  <si>
    <t>PEDRO ASTUDILLO RIOS</t>
  </si>
  <si>
    <t>10.426.007-1</t>
  </si>
  <si>
    <t>DANIEL BENIDIO COFRE COFRE</t>
  </si>
  <si>
    <t>13.398.139-K</t>
  </si>
  <si>
    <t>CRISTIAN ANTONIO VILLAGRAN AVILA</t>
  </si>
  <si>
    <t>10.932.384-5</t>
  </si>
  <si>
    <t>JUAN ANTONIO VILLAGRAN YAÑES</t>
  </si>
  <si>
    <t>4.924.892-K</t>
  </si>
  <si>
    <t>BERNADA DEEL CARMEN LILLO ALVAREZ</t>
  </si>
  <si>
    <t>9.622.775-2</t>
  </si>
  <si>
    <t>FRANCISCA ALICIA LILLO ALVAREZ</t>
  </si>
  <si>
    <t>9.624.052-K</t>
  </si>
  <si>
    <t>PREVISTO PABLO LILLO ALVAREZ</t>
  </si>
  <si>
    <t>7.186.149-K</t>
  </si>
  <si>
    <t xml:space="preserve">MANUEL JESUS LILLO ALVAREZ </t>
  </si>
  <si>
    <t>5.912.151-0</t>
  </si>
  <si>
    <t>ROSA MARDONES MARTINEZ</t>
  </si>
  <si>
    <t>11.803.105-9</t>
  </si>
  <si>
    <t>JOSE GAMALIEL  POBLETE GARCIA</t>
  </si>
  <si>
    <t>5.913.627-5</t>
  </si>
  <si>
    <t>JOSE GERARDO LILLO ALVAREZ</t>
  </si>
  <si>
    <t>7.497.507-0</t>
  </si>
  <si>
    <t>JORGE DANIEL MIRANDA CUEVAS</t>
  </si>
  <si>
    <t>7.559.749-5</t>
  </si>
  <si>
    <t>DOMINGA AMELIA MORAGA ARAYA</t>
  </si>
  <si>
    <t>10.426.163-9</t>
  </si>
  <si>
    <t>OSVALDO JUSTO SAN MARTIN LAVIN</t>
  </si>
  <si>
    <t>5.760.140-K</t>
  </si>
  <si>
    <t>8.826.122-4</t>
  </si>
  <si>
    <t>JUAN CARLOS GOMEZ SAN MARTIN</t>
  </si>
  <si>
    <t>SANTOS ISIDORO CARDENA FERREIRA</t>
  </si>
  <si>
    <t>8.994.702-2</t>
  </si>
  <si>
    <t>LIDIA ANGELICA ROSAS CARES</t>
  </si>
  <si>
    <t>13.84.409-7</t>
  </si>
  <si>
    <t>BLANCA EMILIA MONSALVE ASTETE</t>
  </si>
  <si>
    <t>10.177.331-0</t>
  </si>
  <si>
    <t>DOMINGA CARMEN NAVARRETE GARRIDO</t>
  </si>
  <si>
    <t>7.977.971-7</t>
  </si>
  <si>
    <t>ROGELIO HERNAN SCHMIDT MUÑOZ</t>
  </si>
  <si>
    <t>7.552.268-1</t>
  </si>
  <si>
    <t>PAMELA STEPHANIE BELTRAN MARTINEZ</t>
  </si>
  <si>
    <t>18.333.227-9</t>
  </si>
  <si>
    <t>LUCINDA INES ARAYA CEBALLOS</t>
  </si>
  <si>
    <t>8.192.618-2</t>
  </si>
  <si>
    <t>ROLANDO EULOGIO RAMIREZ JARA</t>
  </si>
  <si>
    <t>14.295.909-7</t>
  </si>
  <si>
    <t>ROSA IENE SOTO SEPULVEDA</t>
  </si>
  <si>
    <t>13.814.230-2</t>
  </si>
  <si>
    <t>CARLOS VICTOR ROZAS CARES</t>
  </si>
  <si>
    <t>14.322.523-2</t>
  </si>
  <si>
    <t>LUIS ALBERTO ROSAS CARES</t>
  </si>
  <si>
    <t>11.409.994-5</t>
  </si>
  <si>
    <t>GLADYS HERMINDA VALERIA BURGOS</t>
  </si>
  <si>
    <t>9.099.027-6</t>
  </si>
  <si>
    <t>MARIA MAGDALENA QUEZADA TORRES</t>
  </si>
  <si>
    <t>6.691.775 4</t>
  </si>
  <si>
    <t>JOSE OSVALDO ZUÑIGA ROSAS</t>
  </si>
  <si>
    <t>8. 243.095-4</t>
  </si>
  <si>
    <t>GLADYS CARMEN CARDENAS FERREIRA</t>
  </si>
  <si>
    <t>11.969.587-2</t>
  </si>
  <si>
    <t>ESCUELA SANTA FILOMENA</t>
  </si>
  <si>
    <t>CASA PROFESOR COLEGIOSANTA FILOIMENA</t>
  </si>
  <si>
    <t>IGLESIA CATOLICA SANTA FILOMENA</t>
  </si>
  <si>
    <t>JOSE HERNAN EBNER SAEZ</t>
  </si>
  <si>
    <t>9.293.655-4</t>
  </si>
  <si>
    <t>NELSON AGAPITO TORRES HERNANDEZ</t>
  </si>
  <si>
    <t>6.647.334-1</t>
  </si>
  <si>
    <t>JUAN ANTONIO BASCUÑAN CORDOVA</t>
  </si>
  <si>
    <t>7.392.321-2</t>
  </si>
  <si>
    <t>JOSE NESTOR TORRES HERNANDEZ</t>
  </si>
  <si>
    <t>8.857.140-1</t>
  </si>
  <si>
    <t>GALVARINO RUDECINDO ORELLANA TRONCOSO</t>
  </si>
  <si>
    <t>7.264.768-8</t>
  </si>
  <si>
    <t>ANGEL GABRIEL ALVARO TORRES HERNANDEZ</t>
  </si>
  <si>
    <t>7.531.505-8</t>
  </si>
  <si>
    <t>RAMON TOMAS HERNANDEZ AGUILAR</t>
  </si>
  <si>
    <t>8.850.922-6</t>
  </si>
  <si>
    <t>ROSA ELISABETH JARA TRONCOSO</t>
  </si>
  <si>
    <t>9.138.811-1</t>
  </si>
  <si>
    <t>RUDECINDO ALARCON SUAZO</t>
  </si>
  <si>
    <t>6.516.459-0</t>
  </si>
  <si>
    <t>8.977.114-5</t>
  </si>
  <si>
    <t>HERNAN RUBEN ARAVENA DURAN</t>
  </si>
  <si>
    <t>GUILLERMO ADAN JELDRESRIQUELME</t>
  </si>
  <si>
    <t>7.096.381-5</t>
  </si>
  <si>
    <t>GUILERMO ANDRES JELDRES STUARDO</t>
  </si>
  <si>
    <t>13.157.714-1</t>
  </si>
  <si>
    <t>TOMAS FRANCISCO SAN MARTIN ARROYO</t>
  </si>
  <si>
    <t>8.567.310-6</t>
  </si>
  <si>
    <t>JOSE ROLANDO NORAMBUENA ARAVENA</t>
  </si>
  <si>
    <t>15.242.992-4</t>
  </si>
  <si>
    <t>DANIEL DIONNISIO RIFFO MORALES</t>
  </si>
  <si>
    <t>9.186.877-6</t>
  </si>
  <si>
    <t>DIFORSINA EUFEMIA ALARCON SUAZO</t>
  </si>
  <si>
    <t>8.042.904-5</t>
  </si>
  <si>
    <t>MARIA IRENIA NAVARRETE VICARA</t>
  </si>
  <si>
    <t>8.725.483-6</t>
  </si>
  <si>
    <t>ALEX FRANCISCO DURAN MENDEZ</t>
  </si>
  <si>
    <t>9.253.227-5</t>
  </si>
  <si>
    <t>JOSE EDMUNDO ALARCON OBREQUE</t>
  </si>
  <si>
    <t>10.085.556-9</t>
  </si>
  <si>
    <t>SANDRO RODRIGO GALAZ AROCA</t>
  </si>
  <si>
    <t>10.393.542-3</t>
  </si>
  <si>
    <t>GLADYS MORAGA FLORES</t>
  </si>
  <si>
    <t>12.335.555-5</t>
  </si>
  <si>
    <t>ALFONSO JAVIER ASTORGA BAEZA</t>
  </si>
  <si>
    <t>14.441.733-K</t>
  </si>
  <si>
    <t>RAUL ANTONIO STUARDO RIQUELME</t>
  </si>
  <si>
    <t>5.438.934-5</t>
  </si>
  <si>
    <t>LAURA ISABEL MONTE ITURRIETA</t>
  </si>
  <si>
    <t>5.636.944-9</t>
  </si>
  <si>
    <t>HERNAN CARLOS AEDO PAREDES</t>
  </si>
  <si>
    <t>6.171.360-3</t>
  </si>
  <si>
    <t>HERNAN CARLOS AEDO STUARDO</t>
  </si>
  <si>
    <t>15.824.645-4</t>
  </si>
  <si>
    <t>ERNESTO EMILIO MORAGA FLORES</t>
  </si>
  <si>
    <t>8.562.444-K</t>
  </si>
  <si>
    <t>CARMEN NANCY CARRASCO REYES</t>
  </si>
  <si>
    <t>12.335.227-0</t>
  </si>
  <si>
    <t>DANIEL CELESTINO MORAGA ARAYA</t>
  </si>
  <si>
    <t>11.803.279-9</t>
  </si>
  <si>
    <t>ELENA VICTORIA CONTRERAS ACUÑA</t>
  </si>
  <si>
    <t>14.322.298-5</t>
  </si>
  <si>
    <t>HERALDO IVAN MORAGA FLORES</t>
  </si>
  <si>
    <t>11.696.336-5</t>
  </si>
  <si>
    <t>LUIS MOISES GUIERREZ NORAMBUENA</t>
  </si>
  <si>
    <t>7.539.821-2</t>
  </si>
  <si>
    <t>BRUNILDA ACUÑA REYES</t>
  </si>
  <si>
    <t>7.124.271-4</t>
  </si>
  <si>
    <t>ALEX ARNOLDO CONTRERAS ACUÑA</t>
  </si>
  <si>
    <t>13.608.222-1</t>
  </si>
  <si>
    <t>EMA PATRICIA FLORES RIVERA</t>
  </si>
  <si>
    <t>13.813.928-K</t>
  </si>
  <si>
    <t>MAUA IRENE CONTRERAS ACUÑA</t>
  </si>
  <si>
    <t>13.157.474-6</t>
  </si>
  <si>
    <t>BARBARA FLORES CONTRERAS</t>
  </si>
  <si>
    <t>20.610.850-9</t>
  </si>
  <si>
    <t>DOMINGO ULISES ESPARZA FUENTES</t>
  </si>
  <si>
    <t>5.914.467-7</t>
  </si>
  <si>
    <t>DIONISIA AGUILERA CARES</t>
  </si>
  <si>
    <t>5.499.423-0</t>
  </si>
  <si>
    <t>}MARIA ADELINA ESPARZA FUENTES</t>
  </si>
  <si>
    <t>9.632.779-K</t>
  </si>
  <si>
    <t>PEDRO RONALD GONZALEZ ESPARZA</t>
  </si>
  <si>
    <t>15.254.386-7</t>
  </si>
  <si>
    <t xml:space="preserve"> VILLA-ALEGRE</t>
  </si>
  <si>
    <t>VILLA-ALEGRE</t>
  </si>
  <si>
    <t>L.ANTERIOR</t>
  </si>
  <si>
    <t>L.ACTUAL</t>
  </si>
  <si>
    <t>ALAN GONZALO TAPIA CHAVEZ</t>
  </si>
  <si>
    <t>15.213.766-4</t>
  </si>
  <si>
    <t>7.058.485-9</t>
  </si>
  <si>
    <t>8.596.871-8</t>
  </si>
  <si>
    <t>11.803.103-2</t>
  </si>
  <si>
    <t>7.312.661-4</t>
  </si>
  <si>
    <t>6.245.273-0</t>
  </si>
  <si>
    <t>5.196.139-0</t>
  </si>
  <si>
    <t>8.499.169-4</t>
  </si>
  <si>
    <t>12.743.050-0</t>
  </si>
  <si>
    <t>7.274.059-9</t>
  </si>
  <si>
    <t>OSCAR FERNANDO SEPULVEDA GALLEEGOS</t>
  </si>
  <si>
    <t>NORMA ANDREA  VILLAMAYOR FERNANDEZ</t>
  </si>
  <si>
    <t>MARIA ANGELICA PEREZ FERNANDEZ</t>
  </si>
  <si>
    <t>C.EDUCACIONAL MARIA LUIZA</t>
  </si>
  <si>
    <t>CASA PROFESOR COLEGIO SANTA FILOIMENA</t>
  </si>
  <si>
    <t>DANIEL DIONISIO RIFFO MORALES</t>
  </si>
  <si>
    <t>M. PAGO</t>
  </si>
  <si>
    <t>S. ANTERIOR</t>
  </si>
  <si>
    <t>T. MES</t>
  </si>
  <si>
    <t>TRANSF.</t>
  </si>
  <si>
    <t>EFECT.</t>
  </si>
  <si>
    <t>CAROLINA CARMEN RODRIGUEZ SILVA</t>
  </si>
  <si>
    <t>BERNADA DEL CARMEN LILLO ALVAREZ</t>
  </si>
  <si>
    <t>MAURA IRENE CONTRERAS ACUÑA</t>
  </si>
  <si>
    <t>MARIA ADELINA ESPARZA FUENTES</t>
  </si>
  <si>
    <t>C. EDUCIONAL MARIA LUIZA</t>
  </si>
  <si>
    <t>CORNELIO DEL TRANSITO QUEZADA RODRIGUEZ</t>
  </si>
  <si>
    <t>LAURA ISABEL MONTES ITURRIETA</t>
  </si>
  <si>
    <t>MARGARITA DE LA MERCEDES JELDRES TRONCOSO</t>
  </si>
  <si>
    <t>CAROLINA DEL ROSARIO SANCHEZ HENRIQUEZ</t>
  </si>
  <si>
    <t>CARLOS ALBERTO BARRERA MOYA</t>
  </si>
  <si>
    <t>JOSE PABLO QUEZADA HENRIQUEZ</t>
  </si>
  <si>
    <t>BERNARDITA DEL CARMEN CASTRO SOLIS</t>
  </si>
  <si>
    <t>FRANCISCO JAVIER REYES ARAYA</t>
  </si>
  <si>
    <t>11.323.534-9</t>
  </si>
  <si>
    <t>GUILLERMO ADAN JELDRES RIQUELME</t>
  </si>
  <si>
    <t>ROSA IRENE SOTO SEPULVEDA</t>
  </si>
  <si>
    <t>EFECTIVO</t>
  </si>
  <si>
    <t>17.881.069-3</t>
  </si>
  <si>
    <t>10.393.144-4</t>
  </si>
  <si>
    <t>16.534.220-8</t>
  </si>
  <si>
    <t>CORPORACION EDUCACIONAL MARIA LUIZA</t>
  </si>
  <si>
    <t>CORPORACION  EDUCIONAL MARIA LUIZA</t>
  </si>
  <si>
    <t>6.362.846-8</t>
  </si>
  <si>
    <t>11.646.186-2</t>
  </si>
  <si>
    <t>9.328.667-7</t>
  </si>
  <si>
    <t>6.494.479-7</t>
  </si>
  <si>
    <t>53.325.048-3</t>
  </si>
  <si>
    <t>5.057.160-2</t>
  </si>
  <si>
    <t>9.633.791-4</t>
  </si>
  <si>
    <t>9.554.671-4</t>
  </si>
  <si>
    <t>11.304.375-K</t>
  </si>
  <si>
    <t>8.043.335-2</t>
  </si>
  <si>
    <t>15.253.982-7</t>
  </si>
  <si>
    <t>14.454.897-3</t>
  </si>
  <si>
    <t>7.990.981-5</t>
  </si>
  <si>
    <t>14.454.898-1</t>
  </si>
  <si>
    <t>11.323.643-4</t>
  </si>
  <si>
    <t>11.128.604-3</t>
  </si>
  <si>
    <t xml:space="preserve">MARTA ISABEL TORO </t>
  </si>
  <si>
    <t>Efectivo</t>
  </si>
  <si>
    <t>10.637.764-2</t>
  </si>
  <si>
    <t>5.527.843-1</t>
  </si>
  <si>
    <t>4.928.610-4</t>
  </si>
  <si>
    <t>13.157.431-2</t>
  </si>
  <si>
    <t>12.195.716-7</t>
  </si>
  <si>
    <t>3.620.840-6</t>
  </si>
  <si>
    <t>16.534.311-5</t>
  </si>
  <si>
    <t>9.996.492-8</t>
  </si>
  <si>
    <t>6.713.134-7</t>
  </si>
  <si>
    <t>9.744.214-2</t>
  </si>
  <si>
    <t>10.783.361-7</t>
  </si>
  <si>
    <t>7.232.313-0</t>
  </si>
  <si>
    <t>5.700.339-1</t>
  </si>
  <si>
    <t>16.815.288-4</t>
  </si>
  <si>
    <t>11.410.050-1</t>
  </si>
  <si>
    <t>11.128.256-0</t>
  </si>
  <si>
    <t>8.492.971-9</t>
  </si>
  <si>
    <t>9.504.165-5</t>
  </si>
  <si>
    <t>7.107.278-9</t>
  </si>
  <si>
    <t>12.743.157-4</t>
  </si>
  <si>
    <t>LUIS ALBERTO ROZAS CARES</t>
  </si>
  <si>
    <t>$5.800.-</t>
  </si>
  <si>
    <t>$10.700.-</t>
  </si>
  <si>
    <t>sin registro</t>
  </si>
  <si>
    <t>efectivo</t>
  </si>
  <si>
    <t>Noviembre</t>
  </si>
  <si>
    <t>$-</t>
  </si>
  <si>
    <t>11.541.244-2</t>
  </si>
  <si>
    <t>FABIAN IGNACIO ROJAS LAGOS</t>
  </si>
  <si>
    <t>IVAN LEONEL RIFFO CARRASCO</t>
  </si>
  <si>
    <t>TRANFERENCIA</t>
  </si>
  <si>
    <t>MARCIA PAMELA PEREZ MORENO</t>
  </si>
  <si>
    <t>ELENA ALEJANDRA CONTRERAS ACUÑA</t>
  </si>
  <si>
    <t>TRANF.</t>
  </si>
  <si>
    <t>tranferencia</t>
  </si>
  <si>
    <t>transferencia</t>
  </si>
  <si>
    <t xml:space="preserve">     </t>
  </si>
  <si>
    <t>con agua cortada</t>
  </si>
  <si>
    <t>Diciembre</t>
  </si>
  <si>
    <t>L ANTERIOR</t>
  </si>
  <si>
    <t>cargar estanque 12 cuotas</t>
  </si>
  <si>
    <t>GERARDO OBED SANDOVAL SOTO , 75.981.670-2</t>
  </si>
  <si>
    <t>82.733.800-1</t>
  </si>
  <si>
    <t>NELSON AGAPITO TORRES</t>
  </si>
  <si>
    <t>OSCAR FERNANDO SEPULVEDA GALLEGOS</t>
  </si>
  <si>
    <t>PATRICIA DEL CARMEN CANCINO VALERA</t>
  </si>
  <si>
    <t>FRANCISCO ANDRES MABAN LANDAETA</t>
  </si>
  <si>
    <t>8.123.897-9</t>
  </si>
  <si>
    <t>16.794.094-3</t>
  </si>
  <si>
    <t>MARINETTE VILLAR ESPARZA</t>
  </si>
  <si>
    <t>5.125.273-K</t>
  </si>
  <si>
    <t>JOSE LUIS CESPEDES MANZO</t>
  </si>
  <si>
    <t>10.681.677-8</t>
  </si>
  <si>
    <t>Isabel Cifuentes vidal +56953722593</t>
  </si>
  <si>
    <t>tranfderencia</t>
  </si>
  <si>
    <t xml:space="preserve">  </t>
  </si>
  <si>
    <t>&lt;</t>
  </si>
  <si>
    <t>?</t>
  </si>
  <si>
    <t>15.318.288-4</t>
  </si>
  <si>
    <t>MARIA CECILIA QUEZADA HENRIQUEZ</t>
  </si>
  <si>
    <t>Tranferencia</t>
  </si>
  <si>
    <t>5.</t>
  </si>
  <si>
    <t>JOSE DEL CARMEN VASQUEZ MUÑOZ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</si>
</sst>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6" formatCode="&quot;$&quot;#,##0;[Red]&quot;$&quot;\-#,##0"/>
    <numFmt numFmtId="164" formatCode="&quot;$&quot;#,##0"/>
  </numFmts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6"/>
      <color theme="1"/>
      <name val="Calibri"/>
      <family val="2"/>
      <scheme val="minor"/>
    </font>
    <font>
      <b/>
      <sz val="8"/>
      <color indexed="81"/>
      <name val="Tahoma"/>
      <family val="2"/>
    </font>
    <font>
      <b/>
      <u/>
      <sz val="10"/>
      <color indexed="81"/>
      <name val="Tahoma"/>
      <family val="2"/>
    </font>
    <font>
      <sz val="8"/>
      <color indexed="81"/>
      <name val="Tahoma"/>
      <family val="2"/>
    </font>
    <font>
      <b/>
      <u/>
      <sz val="11"/>
      <color indexed="81"/>
      <name val="Tahoma"/>
      <family val="2"/>
    </font>
    <font>
      <b/>
      <u/>
      <sz val="8"/>
      <color indexed="81"/>
      <name val="Tahoma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81">
    <xf numFmtId="0" fontId="0" fillId="0" borderId="0" xfId="0"/>
    <xf numFmtId="0" fontId="0" fillId="0" borderId="1" xfId="0" applyBorder="1"/>
    <xf numFmtId="0" fontId="0" fillId="0" borderId="0" xfId="0" applyAlignment="1">
      <alignment horizontal="right"/>
    </xf>
    <xf numFmtId="0" fontId="0" fillId="0" borderId="2" xfId="0" applyBorder="1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1" fillId="0" borderId="4" xfId="0" applyFont="1" applyBorder="1"/>
    <xf numFmtId="3" fontId="0" fillId="0" borderId="0" xfId="0" applyNumberFormat="1"/>
    <xf numFmtId="0" fontId="0" fillId="0" borderId="8" xfId="0" applyBorder="1"/>
    <xf numFmtId="0" fontId="0" fillId="0" borderId="1" xfId="0" applyFill="1" applyBorder="1"/>
    <xf numFmtId="0" fontId="1" fillId="0" borderId="10" xfId="0" applyFont="1" applyBorder="1"/>
    <xf numFmtId="0" fontId="1" fillId="5" borderId="5" xfId="0" applyFont="1" applyFill="1" applyBorder="1"/>
    <xf numFmtId="0" fontId="5" fillId="0" borderId="0" xfId="0" applyFont="1"/>
    <xf numFmtId="0" fontId="0" fillId="0" borderId="11" xfId="0" applyBorder="1"/>
    <xf numFmtId="0" fontId="1" fillId="5" borderId="6" xfId="0" applyFont="1" applyFill="1" applyBorder="1"/>
    <xf numFmtId="0" fontId="5" fillId="0" borderId="9" xfId="0" applyFont="1" applyBorder="1"/>
    <xf numFmtId="3" fontId="0" fillId="2" borderId="1" xfId="0" applyNumberFormat="1" applyFill="1" applyBorder="1"/>
    <xf numFmtId="0" fontId="0" fillId="0" borderId="21" xfId="0" applyBorder="1"/>
    <xf numFmtId="0" fontId="2" fillId="0" borderId="22" xfId="0" applyFont="1" applyBorder="1"/>
    <xf numFmtId="0" fontId="0" fillId="0" borderId="23" xfId="0" applyBorder="1"/>
    <xf numFmtId="3" fontId="0" fillId="2" borderId="24" xfId="0" applyNumberFormat="1" applyFill="1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11" borderId="10" xfId="0" applyFill="1" applyBorder="1"/>
    <xf numFmtId="0" fontId="0" fillId="11" borderId="17" xfId="0" applyFill="1" applyBorder="1"/>
    <xf numFmtId="0" fontId="0" fillId="11" borderId="19" xfId="0" applyFill="1" applyBorder="1"/>
    <xf numFmtId="0" fontId="0" fillId="12" borderId="10" xfId="0" applyFill="1" applyBorder="1"/>
    <xf numFmtId="0" fontId="0" fillId="12" borderId="17" xfId="0" applyFill="1" applyBorder="1"/>
    <xf numFmtId="0" fontId="0" fillId="12" borderId="19" xfId="0" applyFill="1" applyBorder="1"/>
    <xf numFmtId="0" fontId="6" fillId="0" borderId="1" xfId="0" applyFont="1" applyBorder="1"/>
    <xf numFmtId="0" fontId="0" fillId="7" borderId="10" xfId="0" applyFill="1" applyBorder="1"/>
    <xf numFmtId="0" fontId="0" fillId="7" borderId="17" xfId="0" applyFill="1" applyBorder="1"/>
    <xf numFmtId="0" fontId="0" fillId="7" borderId="19" xfId="0" applyFill="1" applyBorder="1"/>
    <xf numFmtId="0" fontId="0" fillId="8" borderId="10" xfId="0" applyFill="1" applyBorder="1"/>
    <xf numFmtId="0" fontId="0" fillId="8" borderId="17" xfId="0" applyFill="1" applyBorder="1"/>
    <xf numFmtId="0" fontId="0" fillId="8" borderId="19" xfId="0" applyFill="1" applyBorder="1"/>
    <xf numFmtId="0" fontId="0" fillId="13" borderId="10" xfId="0" applyFill="1" applyBorder="1"/>
    <xf numFmtId="0" fontId="0" fillId="13" borderId="17" xfId="0" applyFill="1" applyBorder="1"/>
    <xf numFmtId="0" fontId="0" fillId="13" borderId="19" xfId="0" applyFill="1" applyBorder="1"/>
    <xf numFmtId="0" fontId="0" fillId="10" borderId="0" xfId="0" applyFill="1"/>
    <xf numFmtId="0" fontId="0" fillId="9" borderId="10" xfId="0" applyFill="1" applyBorder="1"/>
    <xf numFmtId="0" fontId="0" fillId="9" borderId="17" xfId="0" applyFill="1" applyBorder="1"/>
    <xf numFmtId="0" fontId="0" fillId="9" borderId="19" xfId="0" applyFill="1" applyBorder="1"/>
    <xf numFmtId="0" fontId="0" fillId="4" borderId="10" xfId="0" applyFill="1" applyBorder="1"/>
    <xf numFmtId="0" fontId="0" fillId="4" borderId="17" xfId="0" applyFill="1" applyBorder="1"/>
    <xf numFmtId="0" fontId="0" fillId="4" borderId="19" xfId="0" applyFill="1" applyBorder="1"/>
    <xf numFmtId="0" fontId="1" fillId="0" borderId="6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0" fillId="0" borderId="21" xfId="0" applyBorder="1" applyAlignment="1">
      <alignment horizontal="center"/>
    </xf>
    <xf numFmtId="0" fontId="2" fillId="0" borderId="9" xfId="0" applyFont="1" applyBorder="1"/>
    <xf numFmtId="0" fontId="2" fillId="0" borderId="9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6" fillId="0" borderId="2" xfId="0" applyFont="1" applyBorder="1"/>
    <xf numFmtId="0" fontId="6" fillId="0" borderId="2" xfId="0" applyFont="1" applyBorder="1" applyAlignment="1">
      <alignment horizontal="right"/>
    </xf>
    <xf numFmtId="0" fontId="6" fillId="0" borderId="1" xfId="0" applyFont="1" applyBorder="1" applyAlignment="1">
      <alignment horizontal="right"/>
    </xf>
    <xf numFmtId="0" fontId="6" fillId="0" borderId="8" xfId="0" applyFont="1" applyBorder="1"/>
    <xf numFmtId="0" fontId="6" fillId="0" borderId="0" xfId="0" applyFont="1" applyAlignment="1">
      <alignment horizontal="right"/>
    </xf>
    <xf numFmtId="3" fontId="0" fillId="2" borderId="11" xfId="0" applyNumberFormat="1" applyFill="1" applyBorder="1"/>
    <xf numFmtId="3" fontId="0" fillId="2" borderId="2" xfId="0" applyNumberFormat="1" applyFill="1" applyBorder="1"/>
    <xf numFmtId="0" fontId="1" fillId="5" borderId="4" xfId="0" applyFont="1" applyFill="1" applyBorder="1"/>
    <xf numFmtId="0" fontId="1" fillId="5" borderId="10" xfId="0" applyFont="1" applyFill="1" applyBorder="1"/>
    <xf numFmtId="0" fontId="1" fillId="5" borderId="5" xfId="0" applyFont="1" applyFill="1" applyBorder="1" applyAlignment="1">
      <alignment horizontal="right"/>
    </xf>
    <xf numFmtId="0" fontId="0" fillId="5" borderId="5" xfId="0" applyFill="1" applyBorder="1"/>
    <xf numFmtId="0" fontId="0" fillId="5" borderId="7" xfId="0" applyFill="1" applyBorder="1"/>
    <xf numFmtId="6" fontId="0" fillId="0" borderId="1" xfId="0" applyNumberFormat="1" applyBorder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6" borderId="28" xfId="0" applyFont="1" applyFill="1" applyBorder="1"/>
    <xf numFmtId="0" fontId="1" fillId="6" borderId="20" xfId="0" applyFont="1" applyFill="1" applyBorder="1"/>
    <xf numFmtId="0" fontId="2" fillId="6" borderId="1" xfId="0" applyFont="1" applyFill="1" applyBorder="1" applyAlignment="1">
      <alignment horizontal="center"/>
    </xf>
    <xf numFmtId="0" fontId="1" fillId="6" borderId="13" xfId="0" applyFont="1" applyFill="1" applyBorder="1" applyAlignment="1">
      <alignment horizontal="center"/>
    </xf>
    <xf numFmtId="0" fontId="1" fillId="6" borderId="14" xfId="0" applyFont="1" applyFill="1" applyBorder="1" applyAlignment="1">
      <alignment horizontal="center"/>
    </xf>
    <xf numFmtId="0" fontId="1" fillId="6" borderId="1" xfId="0" applyFont="1" applyFill="1" applyBorder="1"/>
    <xf numFmtId="0" fontId="1" fillId="6" borderId="12" xfId="0" applyFont="1" applyFill="1" applyBorder="1" applyAlignment="1">
      <alignment horizontal="center"/>
    </xf>
    <xf numFmtId="0" fontId="1" fillId="6" borderId="15" xfId="0" applyFont="1" applyFill="1" applyBorder="1" applyAlignment="1">
      <alignment horizontal="center"/>
    </xf>
    <xf numFmtId="0" fontId="2" fillId="6" borderId="1" xfId="0" applyFont="1" applyFill="1" applyBorder="1"/>
    <xf numFmtId="0" fontId="5" fillId="6" borderId="1" xfId="0" applyFont="1" applyFill="1" applyBorder="1"/>
    <xf numFmtId="0" fontId="0" fillId="6" borderId="13" xfId="0" applyFill="1" applyBorder="1"/>
    <xf numFmtId="0" fontId="0" fillId="6" borderId="16" xfId="0" applyFill="1" applyBorder="1"/>
    <xf numFmtId="0" fontId="0" fillId="2" borderId="19" xfId="0" applyFill="1" applyBorder="1"/>
    <xf numFmtId="6" fontId="1" fillId="0" borderId="1" xfId="0" applyNumberFormat="1" applyFont="1" applyBorder="1"/>
    <xf numFmtId="0" fontId="1" fillId="0" borderId="1" xfId="0" applyFont="1" applyBorder="1"/>
    <xf numFmtId="3" fontId="1" fillId="0" borderId="1" xfId="0" applyNumberFormat="1" applyFont="1" applyBorder="1"/>
    <xf numFmtId="3" fontId="1" fillId="7" borderId="1" xfId="0" applyNumberFormat="1" applyFont="1" applyFill="1" applyBorder="1"/>
    <xf numFmtId="0" fontId="0" fillId="14" borderId="1" xfId="0" applyFill="1" applyBorder="1"/>
    <xf numFmtId="0" fontId="1" fillId="0" borderId="9" xfId="0" applyFont="1" applyBorder="1"/>
    <xf numFmtId="0" fontId="0" fillId="0" borderId="33" xfId="0" applyBorder="1"/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6" fontId="1" fillId="9" borderId="1" xfId="0" applyNumberFormat="1" applyFont="1" applyFill="1" applyBorder="1" applyAlignment="1">
      <alignment horizontal="center"/>
    </xf>
    <xf numFmtId="0" fontId="7" fillId="15" borderId="1" xfId="0" applyFont="1" applyFill="1" applyBorder="1" applyAlignment="1">
      <alignment horizontal="center"/>
    </xf>
    <xf numFmtId="0" fontId="1" fillId="15" borderId="1" xfId="0" applyFont="1" applyFill="1" applyBorder="1" applyAlignment="1">
      <alignment horizontal="center"/>
    </xf>
    <xf numFmtId="0" fontId="1" fillId="15" borderId="13" xfId="0" applyFont="1" applyFill="1" applyBorder="1" applyAlignment="1">
      <alignment horizontal="center"/>
    </xf>
    <xf numFmtId="0" fontId="7" fillId="15" borderId="1" xfId="0" applyFont="1" applyFill="1" applyBorder="1"/>
    <xf numFmtId="0" fontId="8" fillId="15" borderId="1" xfId="0" applyFont="1" applyFill="1" applyBorder="1"/>
    <xf numFmtId="0" fontId="1" fillId="15" borderId="13" xfId="0" applyFont="1" applyFill="1" applyBorder="1"/>
    <xf numFmtId="0" fontId="5" fillId="15" borderId="1" xfId="0" applyFont="1" applyFill="1" applyBorder="1"/>
    <xf numFmtId="0" fontId="0" fillId="15" borderId="16" xfId="0" applyFill="1" applyBorder="1"/>
    <xf numFmtId="6" fontId="1" fillId="3" borderId="1" xfId="0" applyNumberFormat="1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3" xfId="0" applyFont="1" applyFill="1" applyBorder="1"/>
    <xf numFmtId="0" fontId="0" fillId="3" borderId="16" xfId="0" applyFill="1" applyBorder="1"/>
    <xf numFmtId="6" fontId="1" fillId="3" borderId="1" xfId="0" applyNumberFormat="1" applyFont="1" applyFill="1" applyBorder="1"/>
    <xf numFmtId="3" fontId="1" fillId="3" borderId="1" xfId="0" applyNumberFormat="1" applyFont="1" applyFill="1" applyBorder="1"/>
    <xf numFmtId="0" fontId="0" fillId="3" borderId="24" xfId="0" applyFill="1" applyBorder="1"/>
    <xf numFmtId="6" fontId="1" fillId="9" borderId="1" xfId="0" applyNumberFormat="1" applyFont="1" applyFill="1" applyBorder="1"/>
    <xf numFmtId="0" fontId="1" fillId="9" borderId="1" xfId="0" applyFont="1" applyFill="1" applyBorder="1"/>
    <xf numFmtId="0" fontId="1" fillId="9" borderId="23" xfId="0" applyFont="1" applyFill="1" applyBorder="1"/>
    <xf numFmtId="0" fontId="0" fillId="9" borderId="25" xfId="0" applyFill="1" applyBorder="1"/>
    <xf numFmtId="0" fontId="1" fillId="9" borderId="13" xfId="0" applyFont="1" applyFill="1" applyBorder="1" applyAlignment="1">
      <alignment horizontal="center"/>
    </xf>
    <xf numFmtId="0" fontId="1" fillId="9" borderId="13" xfId="0" applyFont="1" applyFill="1" applyBorder="1"/>
    <xf numFmtId="0" fontId="0" fillId="9" borderId="16" xfId="0" applyFill="1" applyBorder="1"/>
    <xf numFmtId="0" fontId="2" fillId="0" borderId="1" xfId="0" applyFont="1" applyFill="1" applyBorder="1" applyAlignment="1">
      <alignment horizontal="center"/>
    </xf>
    <xf numFmtId="0" fontId="1" fillId="0" borderId="1" xfId="0" applyFont="1" applyFill="1" applyBorder="1"/>
    <xf numFmtId="0" fontId="0" fillId="16" borderId="1" xfId="0" applyFill="1" applyBorder="1"/>
    <xf numFmtId="0" fontId="0" fillId="16" borderId="1" xfId="0" applyFill="1" applyBorder="1" applyAlignment="1">
      <alignment horizontal="right"/>
    </xf>
    <xf numFmtId="0" fontId="2" fillId="16" borderId="1" xfId="0" applyFont="1" applyFill="1" applyBorder="1" applyAlignment="1">
      <alignment horizontal="center"/>
    </xf>
    <xf numFmtId="0" fontId="7" fillId="16" borderId="1" xfId="0" applyFont="1" applyFill="1" applyBorder="1" applyAlignment="1">
      <alignment horizontal="center"/>
    </xf>
    <xf numFmtId="0" fontId="1" fillId="16" borderId="1" xfId="0" applyFont="1" applyFill="1" applyBorder="1" applyAlignment="1">
      <alignment horizontal="center"/>
    </xf>
    <xf numFmtId="6" fontId="1" fillId="16" borderId="1" xfId="0" applyNumberFormat="1" applyFont="1" applyFill="1" applyBorder="1" applyAlignment="1">
      <alignment horizontal="center"/>
    </xf>
    <xf numFmtId="3" fontId="1" fillId="16" borderId="1" xfId="0" applyNumberFormat="1" applyFont="1" applyFill="1" applyBorder="1"/>
    <xf numFmtId="6" fontId="1" fillId="16" borderId="1" xfId="0" applyNumberFormat="1" applyFont="1" applyFill="1" applyBorder="1"/>
    <xf numFmtId="0" fontId="1" fillId="16" borderId="1" xfId="0" applyFont="1" applyFill="1" applyBorder="1"/>
    <xf numFmtId="0" fontId="1" fillId="17" borderId="1" xfId="0" applyFont="1" applyFill="1" applyBorder="1" applyAlignment="1">
      <alignment horizontal="center"/>
    </xf>
    <xf numFmtId="0" fontId="1" fillId="17" borderId="1" xfId="0" applyFont="1" applyFill="1" applyBorder="1"/>
    <xf numFmtId="0" fontId="7" fillId="17" borderId="1" xfId="0" applyFont="1" applyFill="1" applyBorder="1"/>
    <xf numFmtId="0" fontId="0" fillId="17" borderId="31" xfId="0" applyFill="1" applyBorder="1"/>
    <xf numFmtId="0" fontId="0" fillId="17" borderId="28" xfId="0" applyFill="1" applyBorder="1"/>
    <xf numFmtId="0" fontId="0" fillId="17" borderId="32" xfId="0" applyFill="1" applyBorder="1"/>
    <xf numFmtId="0" fontId="6" fillId="16" borderId="1" xfId="0" applyFont="1" applyFill="1" applyBorder="1"/>
    <xf numFmtId="0" fontId="6" fillId="16" borderId="1" xfId="0" applyFont="1" applyFill="1" applyBorder="1" applyAlignment="1">
      <alignment horizontal="right"/>
    </xf>
    <xf numFmtId="0" fontId="6" fillId="0" borderId="1" xfId="0" applyFont="1" applyFill="1" applyBorder="1"/>
    <xf numFmtId="0" fontId="6" fillId="0" borderId="1" xfId="0" applyFont="1" applyFill="1" applyBorder="1" applyAlignment="1">
      <alignment horizontal="right"/>
    </xf>
    <xf numFmtId="0" fontId="6" fillId="0" borderId="0" xfId="0" applyFont="1" applyFill="1" applyBorder="1"/>
    <xf numFmtId="0" fontId="6" fillId="0" borderId="0" xfId="0" applyFont="1" applyFill="1" applyBorder="1" applyAlignment="1">
      <alignment horizontal="right"/>
    </xf>
    <xf numFmtId="0" fontId="2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3" fontId="0" fillId="0" borderId="0" xfId="0" applyNumberFormat="1" applyFill="1" applyBorder="1"/>
    <xf numFmtId="0" fontId="0" fillId="0" borderId="0" xfId="0" applyFill="1" applyBorder="1"/>
    <xf numFmtId="0" fontId="2" fillId="0" borderId="0" xfId="0" applyFont="1" applyFill="1" applyBorder="1"/>
    <xf numFmtId="0" fontId="5" fillId="0" borderId="0" xfId="0" applyFont="1" applyFill="1" applyBorder="1"/>
    <xf numFmtId="0" fontId="0" fillId="0" borderId="0" xfId="0" applyBorder="1"/>
    <xf numFmtId="0" fontId="0" fillId="0" borderId="34" xfId="0" applyBorder="1"/>
    <xf numFmtId="6" fontId="1" fillId="0" borderId="0" xfId="0" applyNumberFormat="1" applyFont="1" applyFill="1" applyBorder="1"/>
    <xf numFmtId="6" fontId="1" fillId="0" borderId="0" xfId="0" applyNumberFormat="1" applyFont="1" applyFill="1" applyBorder="1" applyAlignment="1">
      <alignment horizontal="center"/>
    </xf>
    <xf numFmtId="0" fontId="1" fillId="0" borderId="0" xfId="0" applyFont="1" applyFill="1" applyBorder="1"/>
    <xf numFmtId="17" fontId="0" fillId="17" borderId="31" xfId="0" applyNumberFormat="1" applyFill="1" applyBorder="1"/>
    <xf numFmtId="0" fontId="6" fillId="11" borderId="1" xfId="0" applyFont="1" applyFill="1" applyBorder="1"/>
    <xf numFmtId="0" fontId="6" fillId="11" borderId="1" xfId="0" applyFont="1" applyFill="1" applyBorder="1" applyAlignment="1">
      <alignment horizontal="right"/>
    </xf>
    <xf numFmtId="0" fontId="2" fillId="11" borderId="1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3" fontId="1" fillId="11" borderId="1" xfId="0" applyNumberFormat="1" applyFont="1" applyFill="1" applyBorder="1"/>
    <xf numFmtId="6" fontId="1" fillId="11" borderId="1" xfId="0" applyNumberFormat="1" applyFont="1" applyFill="1" applyBorder="1"/>
    <xf numFmtId="6" fontId="1" fillId="11" borderId="1" xfId="0" applyNumberFormat="1" applyFont="1" applyFill="1" applyBorder="1" applyAlignment="1">
      <alignment horizontal="center"/>
    </xf>
    <xf numFmtId="0" fontId="1" fillId="11" borderId="1" xfId="0" applyFont="1" applyFill="1" applyBorder="1"/>
    <xf numFmtId="0" fontId="0" fillId="11" borderId="1" xfId="0" applyFill="1" applyBorder="1"/>
    <xf numFmtId="0" fontId="0" fillId="11" borderId="1" xfId="0" applyFill="1" applyBorder="1" applyAlignment="1">
      <alignment horizontal="right"/>
    </xf>
    <xf numFmtId="3" fontId="0" fillId="0" borderId="1" xfId="0" applyNumberFormat="1" applyBorder="1" applyAlignment="1">
      <alignment horizontal="right"/>
    </xf>
    <xf numFmtId="6" fontId="1" fillId="3" borderId="1" xfId="0" applyNumberFormat="1" applyFont="1" applyFill="1" applyBorder="1" applyAlignment="1">
      <alignment horizontal="right"/>
    </xf>
    <xf numFmtId="6" fontId="0" fillId="11" borderId="1" xfId="0" applyNumberFormat="1" applyFill="1" applyBorder="1"/>
    <xf numFmtId="0" fontId="0" fillId="3" borderId="1" xfId="0" applyFill="1" applyBorder="1"/>
    <xf numFmtId="0" fontId="0" fillId="9" borderId="1" xfId="0" applyFill="1" applyBorder="1"/>
    <xf numFmtId="0" fontId="0" fillId="3" borderId="9" xfId="0" applyFill="1" applyBorder="1"/>
    <xf numFmtId="0" fontId="2" fillId="0" borderId="0" xfId="0" applyFont="1" applyBorder="1" applyAlignment="1">
      <alignment horizontal="center"/>
    </xf>
    <xf numFmtId="0" fontId="0" fillId="0" borderId="0" xfId="0" applyBorder="1" applyAlignment="1">
      <alignment horizontal="right"/>
    </xf>
    <xf numFmtId="3" fontId="1" fillId="0" borderId="0" xfId="0" applyNumberFormat="1" applyFont="1" applyFill="1" applyBorder="1"/>
    <xf numFmtId="0" fontId="6" fillId="0" borderId="0" xfId="0" applyFont="1" applyBorder="1"/>
    <xf numFmtId="0" fontId="6" fillId="0" borderId="0" xfId="0" applyFont="1" applyBorder="1" applyAlignment="1">
      <alignment horizontal="right"/>
    </xf>
    <xf numFmtId="3" fontId="0" fillId="2" borderId="0" xfId="0" applyNumberFormat="1" applyFill="1" applyBorder="1"/>
    <xf numFmtId="0" fontId="2" fillId="0" borderId="0" xfId="0" applyFont="1" applyBorder="1"/>
    <xf numFmtId="0" fontId="5" fillId="0" borderId="0" xfId="0" applyFont="1" applyBorder="1"/>
    <xf numFmtId="6" fontId="0" fillId="11" borderId="9" xfId="0" applyNumberFormat="1" applyFill="1" applyBorder="1"/>
    <xf numFmtId="6" fontId="0" fillId="3" borderId="1" xfId="0" applyNumberFormat="1" applyFill="1" applyBorder="1"/>
    <xf numFmtId="6" fontId="0" fillId="3" borderId="9" xfId="0" applyNumberFormat="1" applyFill="1" applyBorder="1"/>
    <xf numFmtId="0" fontId="14" fillId="0" borderId="1" xfId="0" applyFont="1" applyBorder="1"/>
    <xf numFmtId="0" fontId="15" fillId="0" borderId="1" xfId="0" applyFont="1" applyBorder="1" applyAlignment="1">
      <alignment horizontal="right"/>
    </xf>
    <xf numFmtId="0" fontId="16" fillId="0" borderId="1" xfId="0" applyFont="1" applyBorder="1" applyAlignment="1">
      <alignment horizontal="center"/>
    </xf>
    <xf numFmtId="0" fontId="17" fillId="15" borderId="1" xfId="0" applyFont="1" applyFill="1" applyBorder="1" applyAlignment="1">
      <alignment horizontal="center"/>
    </xf>
    <xf numFmtId="6" fontId="0" fillId="9" borderId="1" xfId="0" applyNumberFormat="1" applyFill="1" applyBorder="1"/>
    <xf numFmtId="0" fontId="0" fillId="11" borderId="1" xfId="0" applyFont="1" applyFill="1" applyBorder="1"/>
    <xf numFmtId="0" fontId="0" fillId="0" borderId="1" xfId="0" applyFont="1" applyBorder="1"/>
    <xf numFmtId="0" fontId="0" fillId="0" borderId="1" xfId="0" applyFont="1" applyFill="1" applyBorder="1"/>
    <xf numFmtId="3" fontId="0" fillId="3" borderId="1" xfId="0" applyNumberFormat="1" applyFill="1" applyBorder="1"/>
    <xf numFmtId="6" fontId="0" fillId="3" borderId="8" xfId="0" applyNumberFormat="1" applyFill="1" applyBorder="1"/>
    <xf numFmtId="6" fontId="0" fillId="18" borderId="1" xfId="0" applyNumberFormat="1" applyFill="1" applyBorder="1"/>
    <xf numFmtId="6" fontId="0" fillId="3" borderId="1" xfId="0" applyNumberFormat="1" applyFont="1" applyFill="1" applyBorder="1"/>
    <xf numFmtId="14" fontId="0" fillId="0" borderId="0" xfId="0" applyNumberFormat="1"/>
    <xf numFmtId="6" fontId="0" fillId="12" borderId="1" xfId="0" applyNumberFormat="1" applyFill="1" applyBorder="1"/>
    <xf numFmtId="6" fontId="14" fillId="9" borderId="1" xfId="0" applyNumberFormat="1" applyFont="1" applyFill="1" applyBorder="1"/>
    <xf numFmtId="0" fontId="0" fillId="19" borderId="1" xfId="0" applyFill="1" applyBorder="1"/>
    <xf numFmtId="0" fontId="0" fillId="19" borderId="1" xfId="0" applyFont="1" applyFill="1" applyBorder="1"/>
    <xf numFmtId="0" fontId="6" fillId="19" borderId="1" xfId="0" applyFont="1" applyFill="1" applyBorder="1" applyAlignment="1">
      <alignment horizontal="right"/>
    </xf>
    <xf numFmtId="0" fontId="2" fillId="19" borderId="1" xfId="0" applyFont="1" applyFill="1" applyBorder="1" applyAlignment="1">
      <alignment horizontal="center"/>
    </xf>
    <xf numFmtId="0" fontId="1" fillId="19" borderId="1" xfId="0" applyFont="1" applyFill="1" applyBorder="1" applyAlignment="1">
      <alignment horizontal="center"/>
    </xf>
    <xf numFmtId="3" fontId="1" fillId="19" borderId="1" xfId="0" applyNumberFormat="1" applyFont="1" applyFill="1" applyBorder="1"/>
    <xf numFmtId="6" fontId="0" fillId="19" borderId="1" xfId="0" applyNumberFormat="1" applyFill="1" applyBorder="1"/>
    <xf numFmtId="6" fontId="0" fillId="19" borderId="9" xfId="0" applyNumberFormat="1" applyFill="1" applyBorder="1"/>
    <xf numFmtId="6" fontId="0" fillId="19" borderId="1" xfId="0" applyNumberFormat="1" applyFont="1" applyFill="1" applyBorder="1"/>
    <xf numFmtId="0" fontId="17" fillId="19" borderId="1" xfId="0" applyFont="1" applyFill="1" applyBorder="1" applyAlignment="1">
      <alignment horizontal="center"/>
    </xf>
    <xf numFmtId="6" fontId="1" fillId="19" borderId="1" xfId="0" applyNumberFormat="1" applyFont="1" applyFill="1" applyBorder="1"/>
    <xf numFmtId="0" fontId="0" fillId="19" borderId="9" xfId="0" applyFill="1" applyBorder="1"/>
    <xf numFmtId="0" fontId="14" fillId="11" borderId="1" xfId="0" applyFont="1" applyFill="1" applyBorder="1"/>
    <xf numFmtId="0" fontId="14" fillId="11" borderId="1" xfId="0" applyFont="1" applyFill="1" applyBorder="1" applyAlignment="1">
      <alignment horizontal="right"/>
    </xf>
    <xf numFmtId="0" fontId="16" fillId="11" borderId="1" xfId="0" applyFont="1" applyFill="1" applyBorder="1" applyAlignment="1">
      <alignment horizontal="center"/>
    </xf>
    <xf numFmtId="0" fontId="17" fillId="11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right"/>
    </xf>
    <xf numFmtId="0" fontId="14" fillId="0" borderId="2" xfId="0" applyFont="1" applyBorder="1" applyAlignment="1">
      <alignment horizontal="right"/>
    </xf>
    <xf numFmtId="0" fontId="1" fillId="0" borderId="0" xfId="0" applyFont="1" applyBorder="1"/>
    <xf numFmtId="0" fontId="17" fillId="0" borderId="1" xfId="0" applyFont="1" applyBorder="1"/>
    <xf numFmtId="0" fontId="1" fillId="19" borderId="1" xfId="0" applyFont="1" applyFill="1" applyBorder="1"/>
    <xf numFmtId="0" fontId="1" fillId="0" borderId="0" xfId="0" applyFont="1"/>
    <xf numFmtId="3" fontId="17" fillId="7" borderId="1" xfId="0" applyNumberFormat="1" applyFont="1" applyFill="1" applyBorder="1"/>
    <xf numFmtId="6" fontId="14" fillId="3" borderId="1" xfId="0" applyNumberFormat="1" applyFont="1" applyFill="1" applyBorder="1"/>
    <xf numFmtId="6" fontId="14" fillId="3" borderId="9" xfId="0" applyNumberFormat="1" applyFont="1" applyFill="1" applyBorder="1"/>
    <xf numFmtId="0" fontId="17" fillId="11" borderId="1" xfId="0" applyFont="1" applyFill="1" applyBorder="1"/>
    <xf numFmtId="0" fontId="15" fillId="11" borderId="1" xfId="0" applyFont="1" applyFill="1" applyBorder="1" applyAlignment="1">
      <alignment horizontal="right"/>
    </xf>
    <xf numFmtId="3" fontId="17" fillId="11" borderId="1" xfId="0" applyNumberFormat="1" applyFont="1" applyFill="1" applyBorder="1"/>
    <xf numFmtId="6" fontId="14" fillId="11" borderId="1" xfId="0" applyNumberFormat="1" applyFont="1" applyFill="1" applyBorder="1"/>
    <xf numFmtId="6" fontId="14" fillId="11" borderId="9" xfId="0" applyNumberFormat="1" applyFont="1" applyFill="1" applyBorder="1"/>
    <xf numFmtId="6" fontId="0" fillId="0" borderId="0" xfId="0" applyNumberFormat="1"/>
    <xf numFmtId="0" fontId="1" fillId="15" borderId="9" xfId="0" applyFont="1" applyFill="1" applyBorder="1" applyAlignment="1">
      <alignment horizontal="center"/>
    </xf>
    <xf numFmtId="0" fontId="17" fillId="11" borderId="9" xfId="0" applyFont="1" applyFill="1" applyBorder="1" applyAlignment="1">
      <alignment horizontal="center"/>
    </xf>
    <xf numFmtId="0" fontId="17" fillId="15" borderId="9" xfId="0" applyFont="1" applyFill="1" applyBorder="1" applyAlignment="1">
      <alignment horizontal="center"/>
    </xf>
    <xf numFmtId="0" fontId="1" fillId="11" borderId="9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right"/>
    </xf>
    <xf numFmtId="6" fontId="0" fillId="9" borderId="1" xfId="0" applyNumberFormat="1" applyFont="1" applyFill="1" applyBorder="1"/>
    <xf numFmtId="6" fontId="18" fillId="9" borderId="1" xfId="0" applyNumberFormat="1" applyFont="1" applyFill="1" applyBorder="1"/>
    <xf numFmtId="1" fontId="1" fillId="7" borderId="1" xfId="0" applyNumberFormat="1" applyFont="1" applyFill="1" applyBorder="1" applyAlignment="1">
      <alignment horizontal="center"/>
    </xf>
    <xf numFmtId="1" fontId="1" fillId="15" borderId="9" xfId="0" applyNumberFormat="1" applyFont="1" applyFill="1" applyBorder="1" applyAlignment="1">
      <alignment horizontal="center"/>
    </xf>
    <xf numFmtId="1" fontId="1" fillId="17" borderId="1" xfId="0" applyNumberFormat="1" applyFont="1" applyFill="1" applyBorder="1" applyAlignment="1">
      <alignment horizontal="center"/>
    </xf>
    <xf numFmtId="1" fontId="1" fillId="17" borderId="31" xfId="0" applyNumberFormat="1" applyFont="1" applyFill="1" applyBorder="1" applyAlignment="1">
      <alignment horizontal="center"/>
    </xf>
    <xf numFmtId="1" fontId="1" fillId="11" borderId="13" xfId="0" applyNumberFormat="1" applyFont="1" applyFill="1" applyBorder="1" applyAlignment="1">
      <alignment horizontal="center"/>
    </xf>
    <xf numFmtId="1" fontId="1" fillId="7" borderId="13" xfId="0" applyNumberFormat="1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  <xf numFmtId="1" fontId="17" fillId="11" borderId="9" xfId="0" applyNumberFormat="1" applyFont="1" applyFill="1" applyBorder="1" applyAlignment="1">
      <alignment horizontal="center"/>
    </xf>
    <xf numFmtId="1" fontId="17" fillId="15" borderId="9" xfId="0" applyNumberFormat="1" applyFont="1" applyFill="1" applyBorder="1" applyAlignment="1">
      <alignment horizontal="center"/>
    </xf>
    <xf numFmtId="1" fontId="1" fillId="11" borderId="9" xfId="0" applyNumberFormat="1" applyFont="1" applyFill="1" applyBorder="1" applyAlignment="1">
      <alignment horizontal="center"/>
    </xf>
    <xf numFmtId="1" fontId="1" fillId="19" borderId="9" xfId="0" applyNumberFormat="1" applyFont="1" applyFill="1" applyBorder="1" applyAlignment="1">
      <alignment horizontal="center"/>
    </xf>
    <xf numFmtId="1" fontId="1" fillId="19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/>
    </xf>
    <xf numFmtId="1" fontId="1" fillId="11" borderId="1" xfId="0" applyNumberFormat="1" applyFont="1" applyFill="1" applyBorder="1" applyAlignment="1">
      <alignment horizontal="center"/>
    </xf>
    <xf numFmtId="0" fontId="19" fillId="0" borderId="1" xfId="0" applyFont="1" applyBorder="1"/>
    <xf numFmtId="0" fontId="18" fillId="0" borderId="1" xfId="0" applyFont="1" applyBorder="1"/>
    <xf numFmtId="0" fontId="20" fillId="0" borderId="1" xfId="0" applyFont="1" applyBorder="1" applyAlignment="1">
      <alignment horizontal="right"/>
    </xf>
    <xf numFmtId="0" fontId="21" fillId="0" borderId="1" xfId="0" applyFont="1" applyBorder="1" applyAlignment="1">
      <alignment horizontal="center"/>
    </xf>
    <xf numFmtId="0" fontId="19" fillId="15" borderId="1" xfId="0" applyFont="1" applyFill="1" applyBorder="1" applyAlignment="1">
      <alignment horizontal="center"/>
    </xf>
    <xf numFmtId="0" fontId="0" fillId="15" borderId="1" xfId="0" applyFill="1" applyBorder="1"/>
    <xf numFmtId="6" fontId="1" fillId="12" borderId="1" xfId="0" applyNumberFormat="1" applyFont="1" applyFill="1" applyBorder="1"/>
    <xf numFmtId="164" fontId="0" fillId="3" borderId="9" xfId="0" applyNumberFormat="1" applyFill="1" applyBorder="1"/>
    <xf numFmtId="0" fontId="22" fillId="20" borderId="1" xfId="0" applyFont="1" applyFill="1" applyBorder="1"/>
    <xf numFmtId="0" fontId="22" fillId="19" borderId="1" xfId="0" applyFont="1" applyFill="1" applyBorder="1"/>
    <xf numFmtId="0" fontId="0" fillId="7" borderId="1" xfId="0" applyFill="1" applyBorder="1" applyAlignment="1">
      <alignment horizontal="center"/>
    </xf>
    <xf numFmtId="0" fontId="0" fillId="7" borderId="1" xfId="0" applyFill="1" applyBorder="1" applyAlignment="1">
      <alignment horizontal="right"/>
    </xf>
    <xf numFmtId="3" fontId="0" fillId="3" borderId="1" xfId="0" applyNumberFormat="1" applyFill="1" applyBorder="1" applyAlignment="1">
      <alignment horizontal="right"/>
    </xf>
    <xf numFmtId="0" fontId="0" fillId="0" borderId="0" xfId="0" applyFont="1" applyFill="1" applyBorder="1"/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right"/>
    </xf>
    <xf numFmtId="3" fontId="0" fillId="0" borderId="0" xfId="0" applyNumberFormat="1" applyFill="1" applyBorder="1" applyAlignment="1">
      <alignment horizontal="right"/>
    </xf>
    <xf numFmtId="1" fontId="17" fillId="11" borderId="1" xfId="0" applyNumberFormat="1" applyFont="1" applyFill="1" applyBorder="1" applyAlignment="1">
      <alignment horizontal="center"/>
    </xf>
    <xf numFmtId="1" fontId="17" fillId="7" borderId="1" xfId="0" applyNumberFormat="1" applyFont="1" applyFill="1" applyBorder="1" applyAlignment="1">
      <alignment horizontal="center"/>
    </xf>
    <xf numFmtId="164" fontId="0" fillId="3" borderId="1" xfId="0" applyNumberFormat="1" applyFill="1" applyBorder="1"/>
    <xf numFmtId="1" fontId="19" fillId="15" borderId="9" xfId="0" applyNumberFormat="1" applyFont="1" applyFill="1" applyBorder="1" applyAlignment="1">
      <alignment horizontal="center"/>
    </xf>
    <xf numFmtId="6" fontId="18" fillId="3" borderId="9" xfId="0" applyNumberFormat="1" applyFont="1" applyFill="1" applyBorder="1"/>
    <xf numFmtId="164" fontId="0" fillId="0" borderId="0" xfId="0" applyNumberFormat="1"/>
    <xf numFmtId="164" fontId="1" fillId="17" borderId="1" xfId="0" applyNumberFormat="1" applyFont="1" applyFill="1" applyBorder="1"/>
    <xf numFmtId="164" fontId="0" fillId="11" borderId="1" xfId="0" applyNumberFormat="1" applyFill="1" applyBorder="1"/>
    <xf numFmtId="164" fontId="14" fillId="11" borderId="1" xfId="0" applyNumberFormat="1" applyFont="1" applyFill="1" applyBorder="1"/>
    <xf numFmtId="164" fontId="14" fillId="3" borderId="1" xfId="0" applyNumberFormat="1" applyFont="1" applyFill="1" applyBorder="1"/>
    <xf numFmtId="164" fontId="18" fillId="3" borderId="1" xfId="0" applyNumberFormat="1" applyFont="1" applyFill="1" applyBorder="1"/>
    <xf numFmtId="164" fontId="0" fillId="19" borderId="1" xfId="0" applyNumberFormat="1" applyFill="1" applyBorder="1"/>
    <xf numFmtId="164" fontId="0" fillId="9" borderId="1" xfId="0" applyNumberFormat="1" applyFill="1" applyBorder="1"/>
    <xf numFmtId="0" fontId="6" fillId="21" borderId="1" xfId="0" applyFont="1" applyFill="1" applyBorder="1"/>
    <xf numFmtId="0" fontId="6" fillId="21" borderId="1" xfId="0" applyFont="1" applyFill="1" applyBorder="1" applyAlignment="1">
      <alignment horizontal="right"/>
    </xf>
    <xf numFmtId="0" fontId="2" fillId="21" borderId="1" xfId="0" applyFont="1" applyFill="1" applyBorder="1" applyAlignment="1">
      <alignment horizontal="center"/>
    </xf>
    <xf numFmtId="0" fontId="1" fillId="21" borderId="1" xfId="0" applyFont="1" applyFill="1" applyBorder="1" applyAlignment="1">
      <alignment horizontal="center"/>
    </xf>
    <xf numFmtId="3" fontId="1" fillId="21" borderId="1" xfId="0" applyNumberFormat="1" applyFont="1" applyFill="1" applyBorder="1"/>
    <xf numFmtId="6" fontId="1" fillId="21" borderId="1" xfId="0" applyNumberFormat="1" applyFont="1" applyFill="1" applyBorder="1"/>
    <xf numFmtId="6" fontId="1" fillId="21" borderId="1" xfId="0" applyNumberFormat="1" applyFont="1" applyFill="1" applyBorder="1" applyAlignment="1">
      <alignment horizontal="center"/>
    </xf>
    <xf numFmtId="0" fontId="1" fillId="21" borderId="1" xfId="0" applyFont="1" applyFill="1" applyBorder="1"/>
    <xf numFmtId="0" fontId="0" fillId="21" borderId="1" xfId="0" applyFont="1" applyFill="1" applyBorder="1"/>
    <xf numFmtId="6" fontId="0" fillId="21" borderId="1" xfId="0" applyNumberFormat="1" applyFill="1" applyBorder="1"/>
    <xf numFmtId="6" fontId="0" fillId="21" borderId="9" xfId="0" applyNumberFormat="1" applyFill="1" applyBorder="1"/>
    <xf numFmtId="0" fontId="0" fillId="21" borderId="1" xfId="0" applyFill="1" applyBorder="1"/>
    <xf numFmtId="1" fontId="1" fillId="21" borderId="9" xfId="0" applyNumberFormat="1" applyFont="1" applyFill="1" applyBorder="1" applyAlignment="1">
      <alignment horizontal="center"/>
    </xf>
    <xf numFmtId="164" fontId="0" fillId="21" borderId="1" xfId="0" applyNumberFormat="1" applyFill="1" applyBorder="1"/>
    <xf numFmtId="1" fontId="17" fillId="7" borderId="13" xfId="0" applyNumberFormat="1" applyFont="1" applyFill="1" applyBorder="1" applyAlignment="1">
      <alignment horizontal="center"/>
    </xf>
    <xf numFmtId="0" fontId="18" fillId="0" borderId="1" xfId="0" applyFont="1" applyBorder="1" applyAlignment="1">
      <alignment horizontal="right"/>
    </xf>
    <xf numFmtId="0" fontId="19" fillId="15" borderId="9" xfId="0" applyFont="1" applyFill="1" applyBorder="1" applyAlignment="1">
      <alignment horizontal="center"/>
    </xf>
    <xf numFmtId="1" fontId="19" fillId="7" borderId="1" xfId="0" applyNumberFormat="1" applyFont="1" applyFill="1" applyBorder="1" applyAlignment="1">
      <alignment horizontal="center"/>
    </xf>
    <xf numFmtId="3" fontId="1" fillId="15" borderId="1" xfId="0" applyNumberFormat="1" applyFont="1" applyFill="1" applyBorder="1"/>
    <xf numFmtId="164" fontId="0" fillId="3" borderId="1" xfId="0" applyNumberFormat="1" applyFill="1" applyBorder="1" applyAlignment="1">
      <alignment horizontal="right"/>
    </xf>
    <xf numFmtId="6" fontId="0" fillId="22" borderId="9" xfId="0" applyNumberFormat="1" applyFill="1" applyBorder="1"/>
    <xf numFmtId="1" fontId="19" fillId="11" borderId="9" xfId="0" applyNumberFormat="1" applyFont="1" applyFill="1" applyBorder="1" applyAlignment="1">
      <alignment horizontal="center"/>
    </xf>
    <xf numFmtId="0" fontId="18" fillId="11" borderId="1" xfId="0" applyFont="1" applyFill="1" applyBorder="1"/>
    <xf numFmtId="0" fontId="20" fillId="11" borderId="1" xfId="0" applyFont="1" applyFill="1" applyBorder="1" applyAlignment="1">
      <alignment horizontal="right"/>
    </xf>
    <xf numFmtId="0" fontId="21" fillId="11" borderId="1" xfId="0" applyFont="1" applyFill="1" applyBorder="1" applyAlignment="1">
      <alignment horizontal="center"/>
    </xf>
    <xf numFmtId="0" fontId="19" fillId="11" borderId="1" xfId="0" applyFont="1" applyFill="1" applyBorder="1" applyAlignment="1">
      <alignment horizontal="center"/>
    </xf>
    <xf numFmtId="164" fontId="0" fillId="3" borderId="1" xfId="0" applyNumberFormat="1" applyFont="1" applyFill="1" applyBorder="1"/>
    <xf numFmtId="0" fontId="23" fillId="19" borderId="1" xfId="0" applyFont="1" applyFill="1" applyBorder="1"/>
    <xf numFmtId="164" fontId="0" fillId="0" borderId="1" xfId="0" applyNumberFormat="1" applyFill="1" applyBorder="1"/>
    <xf numFmtId="6" fontId="18" fillId="3" borderId="1" xfId="0" applyNumberFormat="1" applyFont="1" applyFill="1" applyBorder="1"/>
    <xf numFmtId="164" fontId="0" fillId="9" borderId="1" xfId="0" applyNumberFormat="1" applyFill="1" applyBorder="1" applyAlignment="1">
      <alignment horizontal="right"/>
    </xf>
    <xf numFmtId="164" fontId="7" fillId="17" borderId="1" xfId="0" applyNumberFormat="1" applyFont="1" applyFill="1" applyBorder="1"/>
    <xf numFmtId="164" fontId="0" fillId="12" borderId="1" xfId="0" applyNumberFormat="1" applyFill="1" applyBorder="1"/>
    <xf numFmtId="164" fontId="18" fillId="9" borderId="1" xfId="0" applyNumberFormat="1" applyFont="1" applyFill="1" applyBorder="1"/>
    <xf numFmtId="164" fontId="0" fillId="11" borderId="9" xfId="0" applyNumberFormat="1" applyFill="1" applyBorder="1"/>
    <xf numFmtId="164" fontId="0" fillId="9" borderId="1" xfId="0" applyNumberFormat="1" applyFont="1" applyFill="1" applyBorder="1"/>
    <xf numFmtId="164" fontId="14" fillId="9" borderId="1" xfId="0" applyNumberFormat="1" applyFont="1" applyFill="1" applyBorder="1"/>
    <xf numFmtId="164" fontId="0" fillId="11" borderId="1" xfId="0" applyNumberFormat="1" applyFont="1" applyFill="1" applyBorder="1"/>
    <xf numFmtId="0" fontId="18" fillId="11" borderId="1" xfId="0" applyFont="1" applyFill="1" applyBorder="1" applyAlignment="1">
      <alignment horizontal="right"/>
    </xf>
    <xf numFmtId="1" fontId="19" fillId="11" borderId="1" xfId="0" applyNumberFormat="1" applyFont="1" applyFill="1" applyBorder="1" applyAlignment="1">
      <alignment horizontal="center"/>
    </xf>
    <xf numFmtId="1" fontId="19" fillId="7" borderId="13" xfId="0" applyNumberFormat="1" applyFont="1" applyFill="1" applyBorder="1" applyAlignment="1">
      <alignment horizontal="center"/>
    </xf>
    <xf numFmtId="0" fontId="0" fillId="2" borderId="1" xfId="0" applyFont="1" applyFill="1" applyBorder="1"/>
    <xf numFmtId="0" fontId="6" fillId="2" borderId="1" xfId="0" applyFont="1" applyFill="1" applyBorder="1" applyAlignment="1">
      <alignment horizontal="right"/>
    </xf>
    <xf numFmtId="0" fontId="2" fillId="2" borderId="1" xfId="0" applyFont="1" applyFill="1" applyBorder="1" applyAlignment="1">
      <alignment horizontal="center"/>
    </xf>
    <xf numFmtId="1" fontId="1" fillId="2" borderId="9" xfId="0" applyNumberFormat="1" applyFont="1" applyFill="1" applyBorder="1" applyAlignment="1">
      <alignment horizontal="center"/>
    </xf>
    <xf numFmtId="164" fontId="0" fillId="2" borderId="1" xfId="0" applyNumberFormat="1" applyFill="1" applyBorder="1"/>
    <xf numFmtId="6" fontId="0" fillId="2" borderId="9" xfId="0" applyNumberFormat="1" applyFill="1" applyBorder="1"/>
    <xf numFmtId="0" fontId="0" fillId="2" borderId="1" xfId="0" applyFill="1" applyBorder="1"/>
    <xf numFmtId="164" fontId="18" fillId="12" borderId="1" xfId="0" applyNumberFormat="1" applyFont="1" applyFill="1" applyBorder="1"/>
    <xf numFmtId="164" fontId="0" fillId="9" borderId="9" xfId="0" applyNumberFormat="1" applyFill="1" applyBorder="1"/>
    <xf numFmtId="164" fontId="0" fillId="0" borderId="0" xfId="0" applyNumberFormat="1" applyBorder="1"/>
    <xf numFmtId="164" fontId="0" fillId="18" borderId="1" xfId="0" applyNumberFormat="1" applyFill="1" applyBorder="1"/>
    <xf numFmtId="164" fontId="1" fillId="9" borderId="1" xfId="0" applyNumberFormat="1" applyFont="1" applyFill="1" applyBorder="1"/>
    <xf numFmtId="0" fontId="0" fillId="22" borderId="1" xfId="0" applyFont="1" applyFill="1" applyBorder="1"/>
    <xf numFmtId="0" fontId="6" fillId="22" borderId="1" xfId="0" applyFont="1" applyFill="1" applyBorder="1" applyAlignment="1">
      <alignment horizontal="right"/>
    </xf>
    <xf numFmtId="0" fontId="2" fillId="22" borderId="1" xfId="0" applyFont="1" applyFill="1" applyBorder="1" applyAlignment="1">
      <alignment horizontal="center"/>
    </xf>
    <xf numFmtId="1" fontId="1" fillId="22" borderId="9" xfId="0" applyNumberFormat="1" applyFont="1" applyFill="1" applyBorder="1" applyAlignment="1">
      <alignment horizontal="center"/>
    </xf>
    <xf numFmtId="164" fontId="0" fillId="22" borderId="1" xfId="0" applyNumberFormat="1" applyFill="1" applyBorder="1"/>
    <xf numFmtId="0" fontId="0" fillId="0" borderId="1" xfId="0" applyFont="1" applyFill="1" applyBorder="1" applyAlignment="1">
      <alignment horizontal="right"/>
    </xf>
    <xf numFmtId="0" fontId="0" fillId="0" borderId="0" xfId="0" applyNumberFormat="1"/>
    <xf numFmtId="0" fontId="1" fillId="3" borderId="1" xfId="0" applyNumberFormat="1" applyFont="1" applyFill="1" applyBorder="1"/>
    <xf numFmtId="0" fontId="1" fillId="11" borderId="1" xfId="0" applyNumberFormat="1" applyFont="1" applyFill="1" applyBorder="1"/>
    <xf numFmtId="0" fontId="1" fillId="0" borderId="1" xfId="0" applyNumberFormat="1" applyFont="1" applyBorder="1"/>
    <xf numFmtId="0" fontId="1" fillId="0" borderId="1" xfId="0" applyNumberFormat="1" applyFont="1" applyFill="1" applyBorder="1"/>
    <xf numFmtId="0" fontId="1" fillId="0" borderId="0" xfId="0" applyNumberFormat="1" applyFont="1" applyFill="1" applyBorder="1"/>
    <xf numFmtId="0" fontId="17" fillId="11" borderId="1" xfId="0" applyNumberFormat="1" applyFont="1" applyFill="1" applyBorder="1"/>
    <xf numFmtId="0" fontId="17" fillId="0" borderId="1" xfId="0" applyNumberFormat="1" applyFont="1" applyBorder="1"/>
    <xf numFmtId="0" fontId="19" fillId="0" borderId="1" xfId="0" applyNumberFormat="1" applyFont="1" applyBorder="1"/>
    <xf numFmtId="0" fontId="22" fillId="19" borderId="1" xfId="0" applyNumberFormat="1" applyFont="1" applyFill="1" applyBorder="1"/>
    <xf numFmtId="0" fontId="22" fillId="20" borderId="1" xfId="0" applyNumberFormat="1" applyFont="1" applyFill="1" applyBorder="1"/>
    <xf numFmtId="164" fontId="1" fillId="11" borderId="1" xfId="0" applyNumberFormat="1" applyFont="1" applyFill="1" applyBorder="1"/>
    <xf numFmtId="0" fontId="1" fillId="23" borderId="1" xfId="0" applyFont="1" applyFill="1" applyBorder="1"/>
    <xf numFmtId="0" fontId="0" fillId="23" borderId="0" xfId="0" applyFill="1"/>
    <xf numFmtId="0" fontId="6" fillId="4" borderId="1" xfId="0" applyFont="1" applyFill="1" applyBorder="1"/>
    <xf numFmtId="0" fontId="0" fillId="4" borderId="1" xfId="0" applyFill="1" applyBorder="1" applyAlignment="1">
      <alignment horizontal="right"/>
    </xf>
    <xf numFmtId="0" fontId="2" fillId="4" borderId="1" xfId="0" applyFont="1" applyFill="1" applyBorder="1" applyAlignment="1">
      <alignment horizontal="center"/>
    </xf>
    <xf numFmtId="1" fontId="1" fillId="4" borderId="1" xfId="0" applyNumberFormat="1" applyFont="1" applyFill="1" applyBorder="1" applyAlignment="1">
      <alignment horizontal="center"/>
    </xf>
    <xf numFmtId="1" fontId="1" fillId="4" borderId="13" xfId="0" applyNumberFormat="1" applyFont="1" applyFill="1" applyBorder="1" applyAlignment="1">
      <alignment horizontal="center"/>
    </xf>
    <xf numFmtId="164" fontId="0" fillId="4" borderId="1" xfId="0" applyNumberFormat="1" applyFill="1" applyBorder="1"/>
    <xf numFmtId="6" fontId="0" fillId="4" borderId="1" xfId="0" applyNumberFormat="1" applyFill="1" applyBorder="1"/>
    <xf numFmtId="6" fontId="0" fillId="4" borderId="9" xfId="0" applyNumberFormat="1" applyFill="1" applyBorder="1"/>
    <xf numFmtId="0" fontId="0" fillId="4" borderId="1" xfId="0" applyFill="1" applyBorder="1"/>
    <xf numFmtId="1" fontId="19" fillId="4" borderId="1" xfId="0" applyNumberFormat="1" applyFont="1" applyFill="1" applyBorder="1" applyAlignment="1">
      <alignment horizontal="center"/>
    </xf>
    <xf numFmtId="0" fontId="18" fillId="4" borderId="1" xfId="0" applyFont="1" applyFill="1" applyBorder="1"/>
    <xf numFmtId="0" fontId="18" fillId="4" borderId="1" xfId="0" applyFont="1" applyFill="1" applyBorder="1" applyAlignment="1">
      <alignment horizontal="right"/>
    </xf>
    <xf numFmtId="0" fontId="21" fillId="4" borderId="1" xfId="0" applyFont="1" applyFill="1" applyBorder="1" applyAlignment="1">
      <alignment horizontal="center"/>
    </xf>
    <xf numFmtId="1" fontId="19" fillId="4" borderId="13" xfId="0" applyNumberFormat="1" applyFont="1" applyFill="1" applyBorder="1" applyAlignment="1">
      <alignment horizontal="center"/>
    </xf>
    <xf numFmtId="164" fontId="18" fillId="4" borderId="1" xfId="0" applyNumberFormat="1" applyFont="1" applyFill="1" applyBorder="1"/>
    <xf numFmtId="6" fontId="14" fillId="4" borderId="1" xfId="0" applyNumberFormat="1" applyFont="1" applyFill="1" applyBorder="1"/>
    <xf numFmtId="6" fontId="14" fillId="4" borderId="9" xfId="0" applyNumberFormat="1" applyFont="1" applyFill="1" applyBorder="1"/>
    <xf numFmtId="164" fontId="14" fillId="4" borderId="1" xfId="0" applyNumberFormat="1" applyFont="1" applyFill="1" applyBorder="1"/>
    <xf numFmtId="0" fontId="14" fillId="4" borderId="1" xfId="0" applyFont="1" applyFill="1" applyBorder="1"/>
    <xf numFmtId="0" fontId="0" fillId="4" borderId="1" xfId="0" applyFont="1" applyFill="1" applyBorder="1"/>
    <xf numFmtId="0" fontId="6" fillId="4" borderId="1" xfId="0" applyFont="1" applyFill="1" applyBorder="1" applyAlignment="1">
      <alignment horizontal="right"/>
    </xf>
    <xf numFmtId="1" fontId="1" fillId="4" borderId="9" xfId="0" applyNumberFormat="1" applyFont="1" applyFill="1" applyBorder="1" applyAlignment="1">
      <alignment horizontal="center"/>
    </xf>
    <xf numFmtId="0" fontId="15" fillId="4" borderId="1" xfId="0" applyFont="1" applyFill="1" applyBorder="1" applyAlignment="1">
      <alignment horizontal="right"/>
    </xf>
    <xf numFmtId="0" fontId="16" fillId="4" borderId="1" xfId="0" applyFont="1" applyFill="1" applyBorder="1" applyAlignment="1">
      <alignment horizontal="center"/>
    </xf>
    <xf numFmtId="1" fontId="17" fillId="4" borderId="9" xfId="0" applyNumberFormat="1" applyFont="1" applyFill="1" applyBorder="1" applyAlignment="1">
      <alignment horizontal="center"/>
    </xf>
    <xf numFmtId="164" fontId="0" fillId="9" borderId="1" xfId="0" applyNumberFormat="1" applyFill="1" applyBorder="1" applyAlignment="1">
      <alignment wrapText="1"/>
    </xf>
    <xf numFmtId="6" fontId="0" fillId="3" borderId="9" xfId="0" applyNumberFormat="1" applyFill="1" applyBorder="1" applyAlignment="1">
      <alignment wrapText="1"/>
    </xf>
    <xf numFmtId="164" fontId="0" fillId="9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CC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D208"/>
  <sheetViews>
    <sheetView zoomScale="82" zoomScaleNormal="82" workbookViewId="0">
      <selection activeCell="G18" sqref="G18"/>
    </sheetView>
  </sheetViews>
  <sheetFormatPr baseColWidth="10" defaultColWidth="9.140625" defaultRowHeight="15" x14ac:dyDescent="0.25"/>
  <cols>
    <col min="1" max="1" width="4.28515625" customWidth="1"/>
    <col min="2" max="2" width="54.28515625" customWidth="1"/>
    <col min="3" max="3" width="12.28515625" style="2" customWidth="1"/>
    <col min="4" max="4" width="14" customWidth="1"/>
    <col min="5" max="5" width="11.7109375" customWidth="1"/>
    <col min="6" max="6" width="8.85546875" customWidth="1"/>
    <col min="7" max="7" width="6.7109375" customWidth="1"/>
    <col min="8" max="8" width="9.42578125" customWidth="1"/>
    <col min="9" max="9" width="12" customWidth="1"/>
    <col min="10" max="10" width="13.7109375" customWidth="1"/>
    <col min="11" max="11" width="5.5703125" customWidth="1"/>
    <col min="13" max="13" width="10.140625" customWidth="1"/>
    <col min="14" max="14" width="12.85546875" customWidth="1"/>
    <col min="15" max="15" width="13.28515625" customWidth="1"/>
    <col min="16" max="16" width="5.140625" customWidth="1"/>
    <col min="18" max="18" width="10.140625" customWidth="1"/>
    <col min="19" max="19" width="11.85546875" customWidth="1"/>
    <col min="20" max="20" width="13.7109375" customWidth="1"/>
    <col min="21" max="21" width="5.140625" customWidth="1"/>
    <col min="23" max="23" width="9.85546875" customWidth="1"/>
    <col min="24" max="24" width="12.28515625" customWidth="1"/>
    <col min="25" max="25" width="13.7109375" customWidth="1"/>
    <col min="26" max="26" width="5" customWidth="1"/>
    <col min="28" max="28" width="9.85546875" customWidth="1"/>
    <col min="29" max="29" width="12.28515625" customWidth="1"/>
    <col min="30" max="30" width="13.42578125" customWidth="1"/>
    <col min="31" max="31" width="5.42578125" customWidth="1"/>
    <col min="33" max="33" width="9.5703125" customWidth="1"/>
    <col min="34" max="34" width="12.28515625" customWidth="1"/>
    <col min="35" max="35" width="13.5703125" customWidth="1"/>
    <col min="36" max="36" width="5.140625" customWidth="1"/>
    <col min="38" max="38" width="9.5703125" customWidth="1"/>
    <col min="39" max="39" width="12" customWidth="1"/>
    <col min="40" max="40" width="13.7109375" customWidth="1"/>
    <col min="41" max="41" width="5.140625" customWidth="1"/>
    <col min="43" max="43" width="9.85546875" customWidth="1"/>
    <col min="44" max="44" width="12.28515625" customWidth="1"/>
    <col min="45" max="45" width="14" customWidth="1"/>
    <col min="46" max="46" width="5" customWidth="1"/>
    <col min="49" max="49" width="12.140625" customWidth="1"/>
    <col min="50" max="50" width="13.5703125" customWidth="1"/>
    <col min="51" max="51" width="5.7109375" customWidth="1"/>
    <col min="53" max="53" width="10.140625" customWidth="1"/>
    <col min="54" max="54" width="12.7109375" customWidth="1"/>
    <col min="55" max="55" width="13.28515625" customWidth="1"/>
    <col min="56" max="56" width="5.42578125" customWidth="1"/>
    <col min="58" max="58" width="9.85546875" customWidth="1"/>
    <col min="59" max="59" width="12.28515625" customWidth="1"/>
    <col min="60" max="60" width="13.7109375" customWidth="1"/>
    <col min="61" max="61" width="5" customWidth="1"/>
    <col min="63" max="63" width="9.85546875" customWidth="1"/>
    <col min="64" max="64" width="12.7109375" customWidth="1"/>
  </cols>
  <sheetData>
    <row r="1" spans="1:10" ht="15.75" thickBot="1" x14ac:dyDescent="0.3">
      <c r="B1" s="378" t="s">
        <v>8</v>
      </c>
      <c r="C1" s="378"/>
      <c r="D1" s="378"/>
      <c r="E1" s="45"/>
      <c r="F1" s="46"/>
      <c r="G1" s="46" t="s">
        <v>9</v>
      </c>
      <c r="H1" s="46"/>
      <c r="I1" s="47"/>
    </row>
    <row r="2" spans="1:10" ht="15.75" thickBot="1" x14ac:dyDescent="0.3">
      <c r="A2" s="6" t="s">
        <v>3</v>
      </c>
      <c r="B2" s="49" t="s">
        <v>0</v>
      </c>
      <c r="C2" s="48" t="s">
        <v>1</v>
      </c>
      <c r="D2" s="10" t="s">
        <v>2</v>
      </c>
      <c r="E2" s="71" t="s">
        <v>336</v>
      </c>
      <c r="F2" s="72" t="s">
        <v>337</v>
      </c>
      <c r="G2" s="50" t="s">
        <v>10</v>
      </c>
      <c r="H2" s="51" t="s">
        <v>11</v>
      </c>
      <c r="I2" s="17" t="s">
        <v>12</v>
      </c>
      <c r="J2" s="18" t="s">
        <v>13</v>
      </c>
    </row>
    <row r="3" spans="1:10" x14ac:dyDescent="0.25">
      <c r="A3" s="1">
        <v>1</v>
      </c>
      <c r="B3" s="1" t="s">
        <v>14</v>
      </c>
      <c r="C3" s="4" t="s">
        <v>100</v>
      </c>
      <c r="D3" s="53" t="s">
        <v>5</v>
      </c>
      <c r="E3" s="73"/>
      <c r="F3" s="74"/>
      <c r="G3" s="16"/>
      <c r="H3" s="68"/>
      <c r="I3" s="1"/>
      <c r="J3" s="19"/>
    </row>
    <row r="4" spans="1:10" x14ac:dyDescent="0.25">
      <c r="A4" s="1">
        <f>A3+1</f>
        <v>2</v>
      </c>
      <c r="B4" s="1" t="s">
        <v>15</v>
      </c>
      <c r="C4" s="4"/>
      <c r="D4" s="53" t="s">
        <v>5</v>
      </c>
      <c r="E4" s="73"/>
      <c r="F4" s="74"/>
      <c r="G4" s="16"/>
      <c r="H4" s="1"/>
      <c r="I4" s="1"/>
      <c r="J4" s="19"/>
    </row>
    <row r="5" spans="1:10" x14ac:dyDescent="0.25">
      <c r="A5" s="1">
        <f t="shared" ref="A5:A68" si="0">A4+1</f>
        <v>3</v>
      </c>
      <c r="B5" s="3" t="s">
        <v>16</v>
      </c>
      <c r="C5" s="5" t="s">
        <v>101</v>
      </c>
      <c r="D5" s="54" t="s">
        <v>5</v>
      </c>
      <c r="E5" s="73"/>
      <c r="F5" s="74"/>
      <c r="G5" s="16"/>
      <c r="H5" s="1"/>
      <c r="I5" s="1"/>
      <c r="J5" s="19"/>
    </row>
    <row r="6" spans="1:10" x14ac:dyDescent="0.25">
      <c r="A6" s="1">
        <f t="shared" si="0"/>
        <v>4</v>
      </c>
      <c r="B6" s="1" t="s">
        <v>17</v>
      </c>
      <c r="C6" s="4"/>
      <c r="D6" s="53" t="s">
        <v>5</v>
      </c>
      <c r="E6" s="73"/>
      <c r="F6" s="74"/>
      <c r="G6" s="16"/>
      <c r="H6" s="1"/>
      <c r="I6" s="1"/>
      <c r="J6" s="19"/>
    </row>
    <row r="7" spans="1:10" x14ac:dyDescent="0.25">
      <c r="A7" s="1">
        <f t="shared" si="0"/>
        <v>5</v>
      </c>
      <c r="B7" s="1" t="s">
        <v>18</v>
      </c>
      <c r="C7" s="4"/>
      <c r="D7" s="53" t="s">
        <v>5</v>
      </c>
      <c r="E7" s="73"/>
      <c r="F7" s="74"/>
      <c r="G7" s="16"/>
      <c r="H7" s="1"/>
      <c r="I7" s="1"/>
      <c r="J7" s="19"/>
    </row>
    <row r="8" spans="1:10" x14ac:dyDescent="0.25">
      <c r="A8" s="1">
        <f t="shared" si="0"/>
        <v>6</v>
      </c>
      <c r="B8" s="1" t="s">
        <v>19</v>
      </c>
      <c r="C8" s="4"/>
      <c r="D8" s="53" t="s">
        <v>5</v>
      </c>
      <c r="E8" s="73"/>
      <c r="F8" s="74"/>
      <c r="G8" s="16"/>
      <c r="H8" s="1"/>
      <c r="I8" s="1"/>
      <c r="J8" s="19"/>
    </row>
    <row r="9" spans="1:10" x14ac:dyDescent="0.25">
      <c r="A9" s="1">
        <f t="shared" si="0"/>
        <v>7</v>
      </c>
      <c r="B9" s="1" t="s">
        <v>20</v>
      </c>
      <c r="C9" s="4"/>
      <c r="D9" s="53" t="s">
        <v>5</v>
      </c>
      <c r="E9" s="73"/>
      <c r="F9" s="74"/>
      <c r="G9" s="16"/>
      <c r="H9" s="1"/>
      <c r="I9" s="1"/>
      <c r="J9" s="19"/>
    </row>
    <row r="10" spans="1:10" x14ac:dyDescent="0.25">
      <c r="A10" s="1">
        <f t="shared" si="0"/>
        <v>8</v>
      </c>
      <c r="B10" s="1" t="s">
        <v>21</v>
      </c>
      <c r="C10" s="4"/>
      <c r="D10" s="53" t="s">
        <v>5</v>
      </c>
      <c r="E10" s="73"/>
      <c r="F10" s="74"/>
      <c r="G10" s="16"/>
      <c r="H10" s="1"/>
      <c r="I10" s="1"/>
      <c r="J10" s="19"/>
    </row>
    <row r="11" spans="1:10" x14ac:dyDescent="0.25">
      <c r="A11" s="1">
        <f t="shared" si="0"/>
        <v>9</v>
      </c>
      <c r="B11" s="1" t="s">
        <v>22</v>
      </c>
      <c r="C11" s="4"/>
      <c r="D11" s="53" t="s">
        <v>5</v>
      </c>
      <c r="E11" s="73"/>
      <c r="F11" s="74"/>
      <c r="G11" s="16"/>
      <c r="H11" s="1"/>
      <c r="I11" s="1"/>
      <c r="J11" s="19"/>
    </row>
    <row r="12" spans="1:10" x14ac:dyDescent="0.25">
      <c r="A12" s="1">
        <f t="shared" si="0"/>
        <v>10</v>
      </c>
      <c r="B12" s="1" t="s">
        <v>23</v>
      </c>
      <c r="C12" s="4"/>
      <c r="D12" s="53" t="s">
        <v>5</v>
      </c>
      <c r="E12" s="73"/>
      <c r="F12" s="74"/>
      <c r="G12" s="16"/>
      <c r="H12" s="1"/>
      <c r="I12" s="1"/>
      <c r="J12" s="19"/>
    </row>
    <row r="13" spans="1:10" x14ac:dyDescent="0.25">
      <c r="A13" s="1">
        <f t="shared" si="0"/>
        <v>11</v>
      </c>
      <c r="B13" s="1" t="s">
        <v>24</v>
      </c>
      <c r="C13" s="4"/>
      <c r="D13" s="53" t="s">
        <v>5</v>
      </c>
      <c r="E13" s="73"/>
      <c r="F13" s="74"/>
      <c r="G13" s="16"/>
      <c r="H13" s="1"/>
      <c r="I13" s="1"/>
      <c r="J13" s="19"/>
    </row>
    <row r="14" spans="1:10" x14ac:dyDescent="0.25">
      <c r="A14" s="1">
        <f t="shared" si="0"/>
        <v>12</v>
      </c>
      <c r="B14" s="1" t="s">
        <v>25</v>
      </c>
      <c r="C14" s="4"/>
      <c r="D14" s="53" t="s">
        <v>5</v>
      </c>
      <c r="E14" s="73"/>
      <c r="F14" s="74"/>
      <c r="G14" s="16"/>
      <c r="H14" s="1"/>
      <c r="I14" s="1"/>
      <c r="J14" s="19"/>
    </row>
    <row r="15" spans="1:10" x14ac:dyDescent="0.25">
      <c r="A15" s="1">
        <f t="shared" si="0"/>
        <v>13</v>
      </c>
      <c r="B15" s="1" t="s">
        <v>26</v>
      </c>
      <c r="C15" s="4"/>
      <c r="D15" s="53" t="s">
        <v>5</v>
      </c>
      <c r="E15" s="73"/>
      <c r="F15" s="74"/>
      <c r="G15" s="16"/>
      <c r="H15" s="1"/>
      <c r="I15" s="1"/>
      <c r="J15" s="19"/>
    </row>
    <row r="16" spans="1:10" x14ac:dyDescent="0.25">
      <c r="A16" s="1">
        <f t="shared" si="0"/>
        <v>14</v>
      </c>
      <c r="B16" s="1" t="s">
        <v>27</v>
      </c>
      <c r="C16" s="4"/>
      <c r="D16" s="53" t="s">
        <v>5</v>
      </c>
      <c r="E16" s="73"/>
      <c r="F16" s="74"/>
      <c r="G16" s="16"/>
      <c r="H16" s="1"/>
      <c r="I16" s="1"/>
      <c r="J16" s="19"/>
    </row>
    <row r="17" spans="1:10" x14ac:dyDescent="0.25">
      <c r="A17" s="1">
        <f t="shared" si="0"/>
        <v>15</v>
      </c>
      <c r="B17" s="31" t="s">
        <v>28</v>
      </c>
      <c r="C17" s="4"/>
      <c r="D17" s="53" t="s">
        <v>5</v>
      </c>
      <c r="E17" s="73"/>
      <c r="F17" s="74"/>
      <c r="G17" s="16"/>
      <c r="H17" s="1"/>
      <c r="I17" s="1"/>
      <c r="J17" s="19"/>
    </row>
    <row r="18" spans="1:10" x14ac:dyDescent="0.25">
      <c r="A18" s="1">
        <f t="shared" si="0"/>
        <v>16</v>
      </c>
      <c r="B18" s="1" t="s">
        <v>29</v>
      </c>
      <c r="C18" s="4"/>
      <c r="D18" s="53" t="s">
        <v>7</v>
      </c>
      <c r="E18" s="73"/>
      <c r="F18" s="74"/>
      <c r="G18" s="16"/>
      <c r="H18" s="1"/>
      <c r="I18" s="1"/>
      <c r="J18" s="19"/>
    </row>
    <row r="19" spans="1:10" x14ac:dyDescent="0.25">
      <c r="A19" s="1">
        <f t="shared" si="0"/>
        <v>17</v>
      </c>
      <c r="B19" s="1" t="s">
        <v>30</v>
      </c>
      <c r="C19" s="4"/>
      <c r="D19" s="53" t="s">
        <v>5</v>
      </c>
      <c r="E19" s="73"/>
      <c r="F19" s="74"/>
      <c r="G19" s="16"/>
      <c r="H19" s="1"/>
      <c r="I19" s="1"/>
      <c r="J19" s="19"/>
    </row>
    <row r="20" spans="1:10" x14ac:dyDescent="0.25">
      <c r="A20" s="1">
        <f t="shared" si="0"/>
        <v>18</v>
      </c>
      <c r="B20" s="1" t="s">
        <v>31</v>
      </c>
      <c r="C20" s="4"/>
      <c r="D20" s="53" t="s">
        <v>5</v>
      </c>
      <c r="E20" s="73"/>
      <c r="F20" s="74"/>
      <c r="G20" s="16"/>
      <c r="H20" s="1"/>
      <c r="I20" s="1"/>
      <c r="J20" s="19"/>
    </row>
    <row r="21" spans="1:10" x14ac:dyDescent="0.25">
      <c r="A21" s="1">
        <f t="shared" si="0"/>
        <v>19</v>
      </c>
      <c r="B21" s="1" t="s">
        <v>32</v>
      </c>
      <c r="C21" s="4"/>
      <c r="D21" s="53" t="s">
        <v>5</v>
      </c>
      <c r="E21" s="73"/>
      <c r="F21" s="74"/>
      <c r="G21" s="16"/>
      <c r="H21" s="1"/>
      <c r="I21" s="1"/>
      <c r="J21" s="19"/>
    </row>
    <row r="22" spans="1:10" x14ac:dyDescent="0.25">
      <c r="A22" s="1">
        <f t="shared" si="0"/>
        <v>20</v>
      </c>
      <c r="B22" s="1" t="s">
        <v>33</v>
      </c>
      <c r="C22" s="4"/>
      <c r="D22" s="53" t="s">
        <v>5</v>
      </c>
      <c r="E22" s="73"/>
      <c r="F22" s="74"/>
      <c r="G22" s="16"/>
      <c r="H22" s="1"/>
      <c r="I22" s="1"/>
      <c r="J22" s="19"/>
    </row>
    <row r="23" spans="1:10" x14ac:dyDescent="0.25">
      <c r="A23" s="1">
        <f t="shared" si="0"/>
        <v>21</v>
      </c>
      <c r="B23" s="1" t="s">
        <v>34</v>
      </c>
      <c r="C23" s="4"/>
      <c r="D23" s="53" t="s">
        <v>5</v>
      </c>
      <c r="E23" s="73"/>
      <c r="F23" s="74"/>
      <c r="G23" s="16"/>
      <c r="H23" s="1"/>
      <c r="I23" s="1"/>
      <c r="J23" s="19"/>
    </row>
    <row r="24" spans="1:10" x14ac:dyDescent="0.25">
      <c r="A24" s="1">
        <f t="shared" si="0"/>
        <v>22</v>
      </c>
      <c r="B24" s="1" t="s">
        <v>35</v>
      </c>
      <c r="C24" s="4"/>
      <c r="D24" s="53" t="s">
        <v>5</v>
      </c>
      <c r="E24" s="73"/>
      <c r="F24" s="74"/>
      <c r="G24" s="16"/>
      <c r="H24" s="1"/>
      <c r="I24" s="1"/>
      <c r="J24" s="19"/>
    </row>
    <row r="25" spans="1:10" x14ac:dyDescent="0.25">
      <c r="A25" s="1">
        <f t="shared" si="0"/>
        <v>23</v>
      </c>
      <c r="B25" s="1" t="s">
        <v>36</v>
      </c>
      <c r="C25" s="4"/>
      <c r="D25" s="53" t="s">
        <v>5</v>
      </c>
      <c r="E25" s="73"/>
      <c r="F25" s="74"/>
      <c r="G25" s="16"/>
      <c r="H25" s="1"/>
      <c r="I25" s="1"/>
      <c r="J25" s="19"/>
    </row>
    <row r="26" spans="1:10" x14ac:dyDescent="0.25">
      <c r="A26" s="1">
        <f t="shared" si="0"/>
        <v>24</v>
      </c>
      <c r="B26" s="1" t="s">
        <v>37</v>
      </c>
      <c r="C26" s="4"/>
      <c r="D26" s="53" t="s">
        <v>5</v>
      </c>
      <c r="E26" s="73"/>
      <c r="F26" s="74"/>
      <c r="G26" s="16"/>
      <c r="H26" s="1"/>
      <c r="I26" s="1"/>
      <c r="J26" s="19"/>
    </row>
    <row r="27" spans="1:10" x14ac:dyDescent="0.25">
      <c r="A27" s="1">
        <f t="shared" si="0"/>
        <v>25</v>
      </c>
      <c r="B27" s="1" t="s">
        <v>38</v>
      </c>
      <c r="C27" s="4"/>
      <c r="D27" s="53" t="s">
        <v>5</v>
      </c>
      <c r="E27" s="73"/>
      <c r="F27" s="74"/>
      <c r="G27" s="16"/>
      <c r="H27" s="1"/>
      <c r="I27" s="1"/>
      <c r="J27" s="19"/>
    </row>
    <row r="28" spans="1:10" x14ac:dyDescent="0.25">
      <c r="A28" s="1">
        <f t="shared" si="0"/>
        <v>26</v>
      </c>
      <c r="B28" s="1" t="s">
        <v>39</v>
      </c>
      <c r="C28" s="4"/>
      <c r="D28" s="53" t="s">
        <v>5</v>
      </c>
      <c r="E28" s="73"/>
      <c r="F28" s="74"/>
      <c r="G28" s="16"/>
      <c r="H28" s="1"/>
      <c r="I28" s="1"/>
      <c r="J28" s="19"/>
    </row>
    <row r="29" spans="1:10" x14ac:dyDescent="0.25">
      <c r="A29" s="1">
        <f t="shared" si="0"/>
        <v>27</v>
      </c>
      <c r="B29" s="1" t="s">
        <v>40</v>
      </c>
      <c r="C29" s="4"/>
      <c r="D29" s="53" t="s">
        <v>5</v>
      </c>
      <c r="E29" s="73"/>
      <c r="F29" s="74"/>
      <c r="G29" s="16"/>
      <c r="H29" s="1"/>
      <c r="I29" s="1"/>
      <c r="J29" s="19"/>
    </row>
    <row r="30" spans="1:10" x14ac:dyDescent="0.25">
      <c r="A30" s="1">
        <f t="shared" si="0"/>
        <v>28</v>
      </c>
      <c r="B30" s="1" t="s">
        <v>41</v>
      </c>
      <c r="C30" s="4"/>
      <c r="D30" s="53" t="s">
        <v>5</v>
      </c>
      <c r="E30" s="73"/>
      <c r="F30" s="74"/>
      <c r="G30" s="16"/>
      <c r="H30" s="1"/>
      <c r="I30" s="1"/>
      <c r="J30" s="19"/>
    </row>
    <row r="31" spans="1:10" x14ac:dyDescent="0.25">
      <c r="A31" s="1">
        <f t="shared" si="0"/>
        <v>29</v>
      </c>
      <c r="B31" s="1" t="s">
        <v>42</v>
      </c>
      <c r="C31" s="4"/>
      <c r="D31" s="53" t="s">
        <v>5</v>
      </c>
      <c r="E31" s="73"/>
      <c r="F31" s="74"/>
      <c r="G31" s="16"/>
      <c r="H31" s="1"/>
      <c r="I31" s="1"/>
      <c r="J31" s="19"/>
    </row>
    <row r="32" spans="1:10" x14ac:dyDescent="0.25">
      <c r="A32" s="1">
        <f t="shared" si="0"/>
        <v>30</v>
      </c>
      <c r="B32" s="1" t="s">
        <v>43</v>
      </c>
      <c r="C32" s="4"/>
      <c r="D32" s="53" t="s">
        <v>5</v>
      </c>
      <c r="E32" s="73"/>
      <c r="F32" s="74"/>
      <c r="G32" s="16"/>
      <c r="H32" s="1"/>
      <c r="I32" s="1"/>
      <c r="J32" s="19"/>
    </row>
    <row r="33" spans="1:10" x14ac:dyDescent="0.25">
      <c r="A33" s="1">
        <f t="shared" si="0"/>
        <v>31</v>
      </c>
      <c r="B33" s="1" t="s">
        <v>44</v>
      </c>
      <c r="C33" s="4"/>
      <c r="D33" s="53" t="s">
        <v>5</v>
      </c>
      <c r="E33" s="73"/>
      <c r="F33" s="74"/>
      <c r="G33" s="16"/>
      <c r="H33" s="1"/>
      <c r="I33" s="1"/>
      <c r="J33" s="19"/>
    </row>
    <row r="34" spans="1:10" x14ac:dyDescent="0.25">
      <c r="A34" s="1">
        <f t="shared" si="0"/>
        <v>32</v>
      </c>
      <c r="B34" s="1" t="s">
        <v>45</v>
      </c>
      <c r="C34" s="4"/>
      <c r="D34" s="53" t="s">
        <v>5</v>
      </c>
      <c r="E34" s="73"/>
      <c r="F34" s="74"/>
      <c r="G34" s="16"/>
      <c r="H34" s="1"/>
      <c r="I34" s="1"/>
      <c r="J34" s="19"/>
    </row>
    <row r="35" spans="1:10" x14ac:dyDescent="0.25">
      <c r="A35" s="1">
        <f t="shared" si="0"/>
        <v>33</v>
      </c>
      <c r="B35" s="1" t="s">
        <v>46</v>
      </c>
      <c r="C35" s="4"/>
      <c r="D35" s="53" t="s">
        <v>5</v>
      </c>
      <c r="E35" s="73"/>
      <c r="F35" s="74"/>
      <c r="G35" s="16"/>
      <c r="H35" s="1"/>
      <c r="I35" s="1"/>
      <c r="J35" s="19"/>
    </row>
    <row r="36" spans="1:10" x14ac:dyDescent="0.25">
      <c r="A36" s="1">
        <f t="shared" si="0"/>
        <v>34</v>
      </c>
      <c r="B36" s="1" t="s">
        <v>47</v>
      </c>
      <c r="C36" s="4"/>
      <c r="D36" s="53" t="s">
        <v>5</v>
      </c>
      <c r="E36" s="73"/>
      <c r="F36" s="74"/>
      <c r="G36" s="16"/>
      <c r="H36" s="1"/>
      <c r="I36" s="1"/>
      <c r="J36" s="19"/>
    </row>
    <row r="37" spans="1:10" x14ac:dyDescent="0.25">
      <c r="A37" s="1">
        <f t="shared" si="0"/>
        <v>35</v>
      </c>
      <c r="B37" s="1" t="s">
        <v>48</v>
      </c>
      <c r="C37" s="4"/>
      <c r="D37" s="53" t="s">
        <v>5</v>
      </c>
      <c r="E37" s="73"/>
      <c r="F37" s="74"/>
      <c r="G37" s="16"/>
      <c r="H37" s="1"/>
      <c r="I37" s="1"/>
      <c r="J37" s="19"/>
    </row>
    <row r="38" spans="1:10" x14ac:dyDescent="0.25">
      <c r="A38" s="1">
        <f t="shared" si="0"/>
        <v>36</v>
      </c>
      <c r="B38" s="1" t="s">
        <v>49</v>
      </c>
      <c r="C38" s="4"/>
      <c r="D38" s="53" t="s">
        <v>5</v>
      </c>
      <c r="E38" s="73"/>
      <c r="F38" s="74"/>
      <c r="G38" s="16"/>
      <c r="H38" s="1"/>
      <c r="I38" s="1"/>
      <c r="J38" s="19"/>
    </row>
    <row r="39" spans="1:10" x14ac:dyDescent="0.25">
      <c r="A39" s="1">
        <f t="shared" si="0"/>
        <v>37</v>
      </c>
      <c r="B39" s="1" t="s">
        <v>50</v>
      </c>
      <c r="C39" s="4"/>
      <c r="D39" s="53" t="s">
        <v>5</v>
      </c>
      <c r="E39" s="73"/>
      <c r="F39" s="74"/>
      <c r="G39" s="16"/>
      <c r="H39" s="1"/>
      <c r="I39" s="1"/>
      <c r="J39" s="19"/>
    </row>
    <row r="40" spans="1:10" x14ac:dyDescent="0.25">
      <c r="A40" s="1">
        <f t="shared" si="0"/>
        <v>38</v>
      </c>
      <c r="B40" s="3" t="s">
        <v>51</v>
      </c>
      <c r="C40" s="5"/>
      <c r="D40" s="54" t="s">
        <v>5</v>
      </c>
      <c r="E40" s="73"/>
      <c r="F40" s="74"/>
      <c r="G40" s="16"/>
      <c r="H40" s="1"/>
      <c r="I40" s="1"/>
      <c r="J40" s="19"/>
    </row>
    <row r="41" spans="1:10" x14ac:dyDescent="0.25">
      <c r="A41" s="1">
        <f t="shared" si="0"/>
        <v>39</v>
      </c>
      <c r="B41" s="1" t="s">
        <v>52</v>
      </c>
      <c r="C41" s="4"/>
      <c r="D41" s="53" t="s">
        <v>5</v>
      </c>
      <c r="E41" s="73"/>
      <c r="F41" s="74"/>
      <c r="G41" s="16"/>
      <c r="H41" s="1"/>
      <c r="I41" s="1"/>
      <c r="J41" s="19"/>
    </row>
    <row r="42" spans="1:10" x14ac:dyDescent="0.25">
      <c r="A42" s="1">
        <f t="shared" si="0"/>
        <v>40</v>
      </c>
      <c r="B42" s="1" t="s">
        <v>53</v>
      </c>
      <c r="C42" s="4"/>
      <c r="D42" s="53" t="s">
        <v>5</v>
      </c>
      <c r="E42" s="73"/>
      <c r="F42" s="74"/>
      <c r="G42" s="16"/>
      <c r="H42" s="1"/>
      <c r="I42" s="1"/>
      <c r="J42" s="19"/>
    </row>
    <row r="43" spans="1:10" x14ac:dyDescent="0.25">
      <c r="A43" s="1">
        <f t="shared" si="0"/>
        <v>41</v>
      </c>
      <c r="B43" s="1" t="s">
        <v>54</v>
      </c>
      <c r="C43" s="4"/>
      <c r="D43" s="53" t="s">
        <v>5</v>
      </c>
      <c r="E43" s="73"/>
      <c r="F43" s="74"/>
      <c r="G43" s="16"/>
      <c r="H43" s="1"/>
      <c r="I43" s="1"/>
      <c r="J43" s="19"/>
    </row>
    <row r="44" spans="1:10" x14ac:dyDescent="0.25">
      <c r="A44" s="1">
        <f t="shared" si="0"/>
        <v>42</v>
      </c>
      <c r="B44" s="1" t="s">
        <v>55</v>
      </c>
      <c r="C44" s="4"/>
      <c r="D44" s="53" t="s">
        <v>5</v>
      </c>
      <c r="E44" s="73"/>
      <c r="F44" s="74"/>
      <c r="G44" s="16"/>
      <c r="H44" s="1"/>
      <c r="I44" s="1"/>
      <c r="J44" s="19"/>
    </row>
    <row r="45" spans="1:10" x14ac:dyDescent="0.25">
      <c r="A45" s="1">
        <f t="shared" si="0"/>
        <v>43</v>
      </c>
      <c r="B45" s="1" t="s">
        <v>56</v>
      </c>
      <c r="C45" s="4"/>
      <c r="D45" s="53" t="s">
        <v>5</v>
      </c>
      <c r="E45" s="73"/>
      <c r="F45" s="74"/>
      <c r="G45" s="16"/>
      <c r="H45" s="1"/>
      <c r="I45" s="1"/>
      <c r="J45" s="19"/>
    </row>
    <row r="46" spans="1:10" x14ac:dyDescent="0.25">
      <c r="A46" s="1">
        <f t="shared" si="0"/>
        <v>44</v>
      </c>
      <c r="B46" s="1" t="s">
        <v>57</v>
      </c>
      <c r="C46" s="4"/>
      <c r="D46" s="53" t="s">
        <v>5</v>
      </c>
      <c r="E46" s="73"/>
      <c r="F46" s="74"/>
      <c r="G46" s="16"/>
      <c r="H46" s="1"/>
      <c r="I46" s="1"/>
      <c r="J46" s="19"/>
    </row>
    <row r="47" spans="1:10" x14ac:dyDescent="0.25">
      <c r="A47" s="1">
        <f t="shared" si="0"/>
        <v>45</v>
      </c>
      <c r="B47" s="1" t="s">
        <v>58</v>
      </c>
      <c r="C47" s="4"/>
      <c r="D47" s="53" t="s">
        <v>5</v>
      </c>
      <c r="E47" s="73"/>
      <c r="F47" s="74"/>
      <c r="G47" s="16"/>
      <c r="H47" s="1"/>
      <c r="I47" s="1"/>
      <c r="J47" s="19"/>
    </row>
    <row r="48" spans="1:10" x14ac:dyDescent="0.25">
      <c r="A48" s="1">
        <f t="shared" si="0"/>
        <v>46</v>
      </c>
      <c r="B48" s="1" t="s">
        <v>59</v>
      </c>
      <c r="C48" s="4"/>
      <c r="D48" s="53" t="s">
        <v>5</v>
      </c>
      <c r="E48" s="73"/>
      <c r="F48" s="74"/>
      <c r="G48" s="16"/>
      <c r="H48" s="1"/>
      <c r="I48" s="1"/>
      <c r="J48" s="19"/>
    </row>
    <row r="49" spans="1:10" x14ac:dyDescent="0.25">
      <c r="A49" s="1">
        <f t="shared" si="0"/>
        <v>47</v>
      </c>
      <c r="B49" s="1" t="s">
        <v>40</v>
      </c>
      <c r="C49" s="4"/>
      <c r="D49" s="53" t="s">
        <v>5</v>
      </c>
      <c r="E49" s="73"/>
      <c r="F49" s="74"/>
      <c r="G49" s="16"/>
      <c r="H49" s="1"/>
      <c r="I49" s="1"/>
      <c r="J49" s="19"/>
    </row>
    <row r="50" spans="1:10" x14ac:dyDescent="0.25">
      <c r="A50" s="1">
        <f t="shared" si="0"/>
        <v>48</v>
      </c>
      <c r="B50" s="1" t="s">
        <v>60</v>
      </c>
      <c r="C50" s="4"/>
      <c r="D50" s="53" t="s">
        <v>5</v>
      </c>
      <c r="E50" s="73"/>
      <c r="F50" s="74"/>
      <c r="G50" s="16"/>
      <c r="H50" s="1"/>
      <c r="I50" s="1"/>
      <c r="J50" s="19"/>
    </row>
    <row r="51" spans="1:10" x14ac:dyDescent="0.25">
      <c r="A51" s="1">
        <f t="shared" si="0"/>
        <v>49</v>
      </c>
      <c r="B51" s="1" t="s">
        <v>61</v>
      </c>
      <c r="C51" s="4"/>
      <c r="D51" s="53" t="s">
        <v>5</v>
      </c>
      <c r="E51" s="73"/>
      <c r="F51" s="74"/>
      <c r="G51" s="16"/>
      <c r="H51" s="1"/>
      <c r="I51" s="1"/>
      <c r="J51" s="19"/>
    </row>
    <row r="52" spans="1:10" x14ac:dyDescent="0.25">
      <c r="A52" s="1">
        <f t="shared" si="0"/>
        <v>50</v>
      </c>
      <c r="B52" s="3" t="s">
        <v>62</v>
      </c>
      <c r="C52" s="5"/>
      <c r="D52" s="54" t="s">
        <v>5</v>
      </c>
      <c r="E52" s="73"/>
      <c r="F52" s="74"/>
      <c r="G52" s="16"/>
      <c r="H52" s="1"/>
      <c r="I52" s="1"/>
      <c r="J52" s="19"/>
    </row>
    <row r="53" spans="1:10" x14ac:dyDescent="0.25">
      <c r="A53" s="1">
        <f t="shared" si="0"/>
        <v>51</v>
      </c>
      <c r="B53" s="1" t="s">
        <v>63</v>
      </c>
      <c r="C53" s="4"/>
      <c r="D53" s="53" t="s">
        <v>5</v>
      </c>
      <c r="E53" s="73"/>
      <c r="F53" s="74"/>
      <c r="G53" s="16"/>
      <c r="H53" s="1"/>
      <c r="I53" s="1"/>
      <c r="J53" s="19"/>
    </row>
    <row r="54" spans="1:10" x14ac:dyDescent="0.25">
      <c r="A54" s="1">
        <f t="shared" si="0"/>
        <v>52</v>
      </c>
      <c r="B54" s="1" t="s">
        <v>64</v>
      </c>
      <c r="C54" s="4"/>
      <c r="D54" s="53" t="s">
        <v>5</v>
      </c>
      <c r="E54" s="73"/>
      <c r="F54" s="74"/>
      <c r="G54" s="16"/>
      <c r="H54" s="1"/>
      <c r="I54" s="1"/>
      <c r="J54" s="19"/>
    </row>
    <row r="55" spans="1:10" x14ac:dyDescent="0.25">
      <c r="A55" s="1">
        <f t="shared" si="0"/>
        <v>53</v>
      </c>
      <c r="B55" s="1" t="s">
        <v>65</v>
      </c>
      <c r="C55" s="4"/>
      <c r="D55" s="53" t="s">
        <v>5</v>
      </c>
      <c r="E55" s="73"/>
      <c r="F55" s="74"/>
      <c r="G55" s="16"/>
      <c r="H55" s="1"/>
      <c r="I55" s="1"/>
      <c r="J55" s="19"/>
    </row>
    <row r="56" spans="1:10" x14ac:dyDescent="0.25">
      <c r="A56" s="1">
        <f t="shared" si="0"/>
        <v>54</v>
      </c>
      <c r="B56" s="1" t="s">
        <v>66</v>
      </c>
      <c r="C56" s="4"/>
      <c r="D56" s="53" t="s">
        <v>5</v>
      </c>
      <c r="E56" s="73"/>
      <c r="F56" s="74"/>
      <c r="G56" s="16"/>
      <c r="H56" s="1"/>
      <c r="I56" s="1"/>
      <c r="J56" s="19"/>
    </row>
    <row r="57" spans="1:10" x14ac:dyDescent="0.25">
      <c r="A57" s="1">
        <f t="shared" si="0"/>
        <v>55</v>
      </c>
      <c r="B57" s="1" t="s">
        <v>67</v>
      </c>
      <c r="C57" s="4"/>
      <c r="D57" s="53" t="s">
        <v>5</v>
      </c>
      <c r="E57" s="73"/>
      <c r="F57" s="74"/>
      <c r="G57" s="16"/>
      <c r="H57" s="1"/>
      <c r="I57" s="1"/>
      <c r="J57" s="19"/>
    </row>
    <row r="58" spans="1:10" x14ac:dyDescent="0.25">
      <c r="A58" s="1">
        <f t="shared" si="0"/>
        <v>56</v>
      </c>
      <c r="B58" s="1" t="s">
        <v>68</v>
      </c>
      <c r="C58" s="4"/>
      <c r="D58" s="53" t="s">
        <v>5</v>
      </c>
      <c r="E58" s="73"/>
      <c r="F58" s="74"/>
      <c r="G58" s="16"/>
      <c r="H58" s="1"/>
      <c r="I58" s="1"/>
      <c r="J58" s="19"/>
    </row>
    <row r="59" spans="1:10" x14ac:dyDescent="0.25">
      <c r="A59" s="1">
        <f t="shared" si="0"/>
        <v>57</v>
      </c>
      <c r="B59" s="1" t="s">
        <v>69</v>
      </c>
      <c r="C59" s="4"/>
      <c r="D59" s="53" t="s">
        <v>5</v>
      </c>
      <c r="E59" s="73"/>
      <c r="F59" s="74"/>
      <c r="G59" s="16"/>
      <c r="H59" s="1"/>
      <c r="I59" s="1"/>
      <c r="J59" s="19"/>
    </row>
    <row r="60" spans="1:10" x14ac:dyDescent="0.25">
      <c r="A60" s="1">
        <f t="shared" si="0"/>
        <v>58</v>
      </c>
      <c r="B60" s="1" t="s">
        <v>70</v>
      </c>
      <c r="C60" s="4" t="s">
        <v>90</v>
      </c>
      <c r="D60" s="53" t="s">
        <v>5</v>
      </c>
      <c r="E60" s="73"/>
      <c r="F60" s="74"/>
      <c r="G60" s="16"/>
      <c r="H60" s="1"/>
      <c r="I60" s="1"/>
      <c r="J60" s="19"/>
    </row>
    <row r="61" spans="1:10" x14ac:dyDescent="0.25">
      <c r="A61" s="1">
        <f t="shared" si="0"/>
        <v>59</v>
      </c>
      <c r="B61" s="1" t="s">
        <v>71</v>
      </c>
      <c r="C61" s="4" t="s">
        <v>89</v>
      </c>
      <c r="D61" s="53" t="s">
        <v>5</v>
      </c>
      <c r="E61" s="73"/>
      <c r="F61" s="74"/>
      <c r="G61" s="16"/>
      <c r="H61" s="1"/>
      <c r="I61" s="1"/>
      <c r="J61" s="19"/>
    </row>
    <row r="62" spans="1:10" x14ac:dyDescent="0.25">
      <c r="A62" s="1">
        <f t="shared" si="0"/>
        <v>60</v>
      </c>
      <c r="B62" s="1" t="s">
        <v>72</v>
      </c>
      <c r="C62" s="4" t="s">
        <v>88</v>
      </c>
      <c r="D62" s="53" t="s">
        <v>5</v>
      </c>
      <c r="E62" s="73"/>
      <c r="F62" s="74"/>
      <c r="G62" s="16"/>
      <c r="H62" s="1"/>
      <c r="I62" s="1"/>
      <c r="J62" s="19"/>
    </row>
    <row r="63" spans="1:10" x14ac:dyDescent="0.25">
      <c r="A63" s="1">
        <f t="shared" si="0"/>
        <v>61</v>
      </c>
      <c r="B63" s="1" t="s">
        <v>73</v>
      </c>
      <c r="C63" s="4" t="s">
        <v>87</v>
      </c>
      <c r="D63" s="53" t="s">
        <v>5</v>
      </c>
      <c r="E63" s="73"/>
      <c r="F63" s="74"/>
      <c r="G63" s="16"/>
      <c r="H63" s="1"/>
      <c r="I63" s="1"/>
      <c r="J63" s="19"/>
    </row>
    <row r="64" spans="1:10" x14ac:dyDescent="0.25">
      <c r="A64" s="1">
        <f t="shared" si="0"/>
        <v>62</v>
      </c>
      <c r="B64" s="1" t="s">
        <v>74</v>
      </c>
      <c r="C64" s="4" t="s">
        <v>86</v>
      </c>
      <c r="D64" s="53" t="s">
        <v>5</v>
      </c>
      <c r="E64" s="73"/>
      <c r="F64" s="74"/>
      <c r="G64" s="16"/>
      <c r="H64" s="1"/>
      <c r="I64" s="1"/>
      <c r="J64" s="19"/>
    </row>
    <row r="65" spans="1:10" x14ac:dyDescent="0.25">
      <c r="A65" s="1">
        <f t="shared" si="0"/>
        <v>63</v>
      </c>
      <c r="B65" s="1" t="s">
        <v>84</v>
      </c>
      <c r="C65" s="4" t="s">
        <v>85</v>
      </c>
      <c r="D65" s="53" t="s">
        <v>5</v>
      </c>
      <c r="E65" s="73"/>
      <c r="F65" s="74"/>
      <c r="G65" s="16"/>
      <c r="H65" s="1"/>
      <c r="I65" s="1"/>
      <c r="J65" s="19"/>
    </row>
    <row r="66" spans="1:10" x14ac:dyDescent="0.25">
      <c r="A66" s="1">
        <f t="shared" si="0"/>
        <v>64</v>
      </c>
      <c r="B66" s="1" t="s">
        <v>75</v>
      </c>
      <c r="C66" s="4" t="s">
        <v>83</v>
      </c>
      <c r="D66" s="53" t="s">
        <v>5</v>
      </c>
      <c r="E66" s="73"/>
      <c r="F66" s="74"/>
      <c r="G66" s="16"/>
      <c r="H66" s="1"/>
      <c r="I66" s="1"/>
      <c r="J66" s="19"/>
    </row>
    <row r="67" spans="1:10" x14ac:dyDescent="0.25">
      <c r="A67" s="1">
        <f t="shared" si="0"/>
        <v>65</v>
      </c>
      <c r="B67" s="1" t="s">
        <v>76</v>
      </c>
      <c r="C67" s="4" t="s">
        <v>82</v>
      </c>
      <c r="D67" s="53" t="s">
        <v>5</v>
      </c>
      <c r="E67" s="73"/>
      <c r="F67" s="74"/>
      <c r="G67" s="16"/>
      <c r="H67" s="1"/>
      <c r="I67" s="1"/>
      <c r="J67" s="19"/>
    </row>
    <row r="68" spans="1:10" x14ac:dyDescent="0.25">
      <c r="A68" s="1">
        <f t="shared" si="0"/>
        <v>66</v>
      </c>
      <c r="B68" s="1" t="s">
        <v>77</v>
      </c>
      <c r="C68" s="4" t="s">
        <v>6</v>
      </c>
      <c r="D68" s="53" t="s">
        <v>5</v>
      </c>
      <c r="E68" s="73"/>
      <c r="F68" s="74"/>
      <c r="G68" s="16"/>
      <c r="H68" s="1"/>
      <c r="I68" s="1"/>
      <c r="J68" s="19"/>
    </row>
    <row r="69" spans="1:10" x14ac:dyDescent="0.25">
      <c r="A69" s="1">
        <f>A68+1</f>
        <v>67</v>
      </c>
      <c r="B69" s="1" t="s">
        <v>78</v>
      </c>
      <c r="C69" s="4" t="s">
        <v>79</v>
      </c>
      <c r="D69" s="53" t="s">
        <v>5</v>
      </c>
      <c r="E69" s="73"/>
      <c r="F69" s="74"/>
      <c r="G69" s="16"/>
      <c r="H69" s="1"/>
      <c r="I69" s="1"/>
      <c r="J69" s="19"/>
    </row>
    <row r="70" spans="1:10" x14ac:dyDescent="0.25">
      <c r="A70" s="1">
        <f>A69+1</f>
        <v>68</v>
      </c>
      <c r="B70" s="1" t="s">
        <v>80</v>
      </c>
      <c r="C70" s="4" t="s">
        <v>81</v>
      </c>
      <c r="D70" s="53" t="s">
        <v>5</v>
      </c>
      <c r="E70" s="73"/>
      <c r="F70" s="74"/>
      <c r="G70" s="16"/>
      <c r="H70" s="1"/>
      <c r="I70" s="1"/>
      <c r="J70" s="19"/>
    </row>
    <row r="71" spans="1:10" x14ac:dyDescent="0.25">
      <c r="A71" s="1">
        <f>A204+1</f>
        <v>70</v>
      </c>
      <c r="B71" s="1"/>
      <c r="C71" s="4"/>
      <c r="D71" s="53" t="s">
        <v>5</v>
      </c>
      <c r="E71" s="73"/>
      <c r="F71" s="74"/>
      <c r="G71" s="16"/>
      <c r="H71" s="1"/>
      <c r="I71" s="1"/>
      <c r="J71" s="19"/>
    </row>
    <row r="72" spans="1:10" ht="15.75" thickBot="1" x14ac:dyDescent="0.3">
      <c r="A72" s="13">
        <f>A71+1</f>
        <v>71</v>
      </c>
      <c r="B72" s="8"/>
      <c r="D72" s="55" t="s">
        <v>5</v>
      </c>
      <c r="E72" s="73"/>
      <c r="F72" s="75"/>
      <c r="G72" s="61"/>
      <c r="H72" s="13"/>
      <c r="I72" s="13"/>
      <c r="J72" s="24"/>
    </row>
    <row r="73" spans="1:10" ht="15.75" thickBot="1" x14ac:dyDescent="0.3">
      <c r="A73" s="64" t="s">
        <v>3</v>
      </c>
      <c r="B73" s="63" t="s">
        <v>0</v>
      </c>
      <c r="C73" s="65" t="s">
        <v>1</v>
      </c>
      <c r="D73" s="14" t="s">
        <v>2</v>
      </c>
      <c r="E73" s="76"/>
      <c r="F73" s="77"/>
      <c r="G73" s="11"/>
      <c r="H73" s="66"/>
      <c r="I73" s="66"/>
      <c r="J73" s="67"/>
    </row>
    <row r="74" spans="1:10" x14ac:dyDescent="0.25">
      <c r="A74" s="3">
        <v>1</v>
      </c>
      <c r="B74" s="56" t="s">
        <v>102</v>
      </c>
      <c r="C74" s="57" t="s">
        <v>103</v>
      </c>
      <c r="D74" s="54" t="s">
        <v>334</v>
      </c>
      <c r="E74" s="73"/>
      <c r="F74" s="78"/>
      <c r="G74" s="62"/>
      <c r="H74" s="3"/>
      <c r="I74" s="3"/>
      <c r="J74" s="23"/>
    </row>
    <row r="75" spans="1:10" x14ac:dyDescent="0.25">
      <c r="A75" s="1">
        <f t="shared" ref="A75:A106" si="1">A74+1</f>
        <v>2</v>
      </c>
      <c r="B75" s="31" t="s">
        <v>104</v>
      </c>
      <c r="C75" s="58"/>
      <c r="D75" s="53" t="s">
        <v>334</v>
      </c>
      <c r="E75" s="73"/>
      <c r="F75" s="74"/>
      <c r="G75" s="16"/>
      <c r="H75" s="1"/>
      <c r="I75" s="1"/>
      <c r="J75" s="19"/>
    </row>
    <row r="76" spans="1:10" x14ac:dyDescent="0.25">
      <c r="A76" s="1">
        <f t="shared" si="1"/>
        <v>3</v>
      </c>
      <c r="B76" s="31" t="s">
        <v>105</v>
      </c>
      <c r="C76" s="58" t="s">
        <v>106</v>
      </c>
      <c r="D76" s="53" t="s">
        <v>335</v>
      </c>
      <c r="E76" s="73"/>
      <c r="F76" s="74"/>
      <c r="G76" s="16"/>
      <c r="H76" s="1"/>
      <c r="I76" s="1"/>
      <c r="J76" s="19"/>
    </row>
    <row r="77" spans="1:10" x14ac:dyDescent="0.25">
      <c r="A77" s="1">
        <f t="shared" si="1"/>
        <v>4</v>
      </c>
      <c r="B77" s="31" t="s">
        <v>107</v>
      </c>
      <c r="C77" s="58"/>
      <c r="D77" s="53" t="s">
        <v>335</v>
      </c>
      <c r="E77" s="73"/>
      <c r="F77" s="74"/>
      <c r="G77" s="16"/>
      <c r="H77" s="1"/>
      <c r="I77" s="1"/>
      <c r="J77" s="19"/>
    </row>
    <row r="78" spans="1:10" x14ac:dyDescent="0.25">
      <c r="A78" s="1">
        <f t="shared" si="1"/>
        <v>5</v>
      </c>
      <c r="B78" s="31" t="s">
        <v>108</v>
      </c>
      <c r="C78" s="58" t="s">
        <v>111</v>
      </c>
      <c r="D78" s="53" t="s">
        <v>334</v>
      </c>
      <c r="E78" s="73"/>
      <c r="F78" s="74"/>
      <c r="G78" s="16"/>
      <c r="H78" s="1"/>
      <c r="I78" s="1"/>
      <c r="J78" s="19"/>
    </row>
    <row r="79" spans="1:10" x14ac:dyDescent="0.25">
      <c r="A79" s="1">
        <f t="shared" si="1"/>
        <v>6</v>
      </c>
      <c r="B79" s="31" t="s">
        <v>109</v>
      </c>
      <c r="C79" s="58" t="s">
        <v>110</v>
      </c>
      <c r="D79" s="53" t="s">
        <v>334</v>
      </c>
      <c r="E79" s="73"/>
      <c r="F79" s="74"/>
      <c r="G79" s="16"/>
      <c r="H79" s="1"/>
      <c r="I79" s="1"/>
      <c r="J79" s="19"/>
    </row>
    <row r="80" spans="1:10" x14ac:dyDescent="0.25">
      <c r="A80" s="1">
        <f t="shared" si="1"/>
        <v>7</v>
      </c>
      <c r="B80" s="31" t="s">
        <v>112</v>
      </c>
      <c r="C80" s="58" t="s">
        <v>113</v>
      </c>
      <c r="D80" s="53" t="s">
        <v>335</v>
      </c>
      <c r="E80" s="73"/>
      <c r="F80" s="74"/>
      <c r="G80" s="16"/>
      <c r="H80" s="1"/>
      <c r="I80" s="1"/>
      <c r="J80" s="19"/>
    </row>
    <row r="81" spans="1:10" x14ac:dyDescent="0.25">
      <c r="A81" s="1">
        <f t="shared" si="1"/>
        <v>8</v>
      </c>
      <c r="B81" s="31" t="s">
        <v>114</v>
      </c>
      <c r="C81" s="58" t="s">
        <v>115</v>
      </c>
      <c r="D81" s="53" t="s">
        <v>335</v>
      </c>
      <c r="E81" s="73"/>
      <c r="F81" s="74"/>
      <c r="G81" s="16"/>
      <c r="H81" s="1"/>
      <c r="I81" s="1"/>
      <c r="J81" s="19"/>
    </row>
    <row r="82" spans="1:10" x14ac:dyDescent="0.25">
      <c r="A82" s="1">
        <f t="shared" si="1"/>
        <v>9</v>
      </c>
      <c r="B82" s="31" t="s">
        <v>116</v>
      </c>
      <c r="C82" s="58" t="s">
        <v>106</v>
      </c>
      <c r="D82" s="53" t="s">
        <v>334</v>
      </c>
      <c r="E82" s="73"/>
      <c r="F82" s="74"/>
      <c r="G82" s="16"/>
      <c r="H82" s="1"/>
      <c r="I82" s="1"/>
      <c r="J82" s="19"/>
    </row>
    <row r="83" spans="1:10" x14ac:dyDescent="0.25">
      <c r="A83" s="1">
        <f t="shared" si="1"/>
        <v>10</v>
      </c>
      <c r="B83" s="31" t="s">
        <v>117</v>
      </c>
      <c r="C83" s="58" t="s">
        <v>118</v>
      </c>
      <c r="D83" s="53" t="s">
        <v>335</v>
      </c>
      <c r="E83" s="73"/>
      <c r="F83" s="74"/>
      <c r="G83" s="16"/>
      <c r="H83" s="1"/>
      <c r="I83" s="1"/>
      <c r="J83" s="19"/>
    </row>
    <row r="84" spans="1:10" x14ac:dyDescent="0.25">
      <c r="A84" s="1">
        <f t="shared" si="1"/>
        <v>11</v>
      </c>
      <c r="B84" s="31" t="s">
        <v>119</v>
      </c>
      <c r="C84" s="58" t="s">
        <v>120</v>
      </c>
      <c r="D84" s="53" t="s">
        <v>335</v>
      </c>
      <c r="E84" s="73"/>
      <c r="F84" s="74"/>
      <c r="G84" s="16"/>
      <c r="H84" s="1"/>
      <c r="I84" s="1"/>
      <c r="J84" s="19"/>
    </row>
    <row r="85" spans="1:10" x14ac:dyDescent="0.25">
      <c r="A85" s="1">
        <f t="shared" si="1"/>
        <v>12</v>
      </c>
      <c r="B85" s="31" t="s">
        <v>121</v>
      </c>
      <c r="C85" s="58" t="s">
        <v>122</v>
      </c>
      <c r="D85" s="53" t="s">
        <v>335</v>
      </c>
      <c r="E85" s="73"/>
      <c r="F85" s="74"/>
      <c r="G85" s="16"/>
      <c r="H85" s="1"/>
      <c r="I85" s="1"/>
      <c r="J85" s="19"/>
    </row>
    <row r="86" spans="1:10" x14ac:dyDescent="0.25">
      <c r="A86" s="1">
        <f t="shared" si="1"/>
        <v>13</v>
      </c>
      <c r="B86" s="31" t="s">
        <v>123</v>
      </c>
      <c r="C86" s="58" t="s">
        <v>124</v>
      </c>
      <c r="D86" s="53" t="s">
        <v>335</v>
      </c>
      <c r="E86" s="73"/>
      <c r="F86" s="74"/>
      <c r="G86" s="16"/>
      <c r="H86" s="1"/>
      <c r="I86" s="1"/>
      <c r="J86" s="19"/>
    </row>
    <row r="87" spans="1:10" x14ac:dyDescent="0.25">
      <c r="A87" s="1">
        <f t="shared" si="1"/>
        <v>14</v>
      </c>
      <c r="B87" s="31" t="s">
        <v>125</v>
      </c>
      <c r="C87" s="58" t="s">
        <v>126</v>
      </c>
      <c r="D87" s="53" t="s">
        <v>335</v>
      </c>
      <c r="E87" s="73"/>
      <c r="F87" s="74"/>
      <c r="G87" s="16"/>
      <c r="H87" s="1"/>
      <c r="I87" s="1"/>
      <c r="J87" s="19"/>
    </row>
    <row r="88" spans="1:10" x14ac:dyDescent="0.25">
      <c r="A88" s="1">
        <f t="shared" si="1"/>
        <v>15</v>
      </c>
      <c r="B88" s="31" t="s">
        <v>127</v>
      </c>
      <c r="C88" s="58" t="s">
        <v>128</v>
      </c>
      <c r="D88" s="53" t="s">
        <v>335</v>
      </c>
      <c r="E88" s="73"/>
      <c r="F88" s="74"/>
      <c r="G88" s="16"/>
      <c r="H88" s="1"/>
      <c r="I88" s="1"/>
      <c r="J88" s="19"/>
    </row>
    <row r="89" spans="1:10" x14ac:dyDescent="0.25">
      <c r="A89" s="1">
        <f t="shared" si="1"/>
        <v>16</v>
      </c>
      <c r="B89" s="31" t="s">
        <v>129</v>
      </c>
      <c r="C89" s="58" t="s">
        <v>130</v>
      </c>
      <c r="D89" s="53" t="s">
        <v>335</v>
      </c>
      <c r="E89" s="73"/>
      <c r="F89" s="74"/>
      <c r="G89" s="16"/>
      <c r="H89" s="1"/>
      <c r="I89" s="1"/>
      <c r="J89" s="19"/>
    </row>
    <row r="90" spans="1:10" x14ac:dyDescent="0.25">
      <c r="A90" s="1">
        <f t="shared" si="1"/>
        <v>17</v>
      </c>
      <c r="B90" s="31" t="s">
        <v>131</v>
      </c>
      <c r="C90" s="58" t="s">
        <v>132</v>
      </c>
      <c r="D90" s="53" t="s">
        <v>335</v>
      </c>
      <c r="E90" s="73"/>
      <c r="F90" s="74"/>
      <c r="G90" s="16"/>
      <c r="H90" s="1"/>
      <c r="I90" s="1"/>
      <c r="J90" s="19"/>
    </row>
    <row r="91" spans="1:10" x14ac:dyDescent="0.25">
      <c r="A91" s="1">
        <f t="shared" si="1"/>
        <v>18</v>
      </c>
      <c r="B91" s="31" t="s">
        <v>133</v>
      </c>
      <c r="C91" s="58" t="s">
        <v>134</v>
      </c>
      <c r="D91" s="53" t="s">
        <v>335</v>
      </c>
      <c r="E91" s="73"/>
      <c r="F91" s="74"/>
      <c r="G91" s="16"/>
      <c r="H91" s="1"/>
      <c r="I91" s="1"/>
      <c r="J91" s="19"/>
    </row>
    <row r="92" spans="1:10" x14ac:dyDescent="0.25">
      <c r="A92" s="1">
        <f t="shared" si="1"/>
        <v>19</v>
      </c>
      <c r="B92" s="31" t="s">
        <v>135</v>
      </c>
      <c r="C92" s="58" t="s">
        <v>136</v>
      </c>
      <c r="D92" s="53" t="s">
        <v>335</v>
      </c>
      <c r="E92" s="73"/>
      <c r="F92" s="74"/>
      <c r="G92" s="16"/>
      <c r="H92" s="1"/>
      <c r="I92" s="1"/>
      <c r="J92" s="19"/>
    </row>
    <row r="93" spans="1:10" x14ac:dyDescent="0.25">
      <c r="A93" s="1">
        <f t="shared" si="1"/>
        <v>20</v>
      </c>
      <c r="B93" s="31" t="s">
        <v>137</v>
      </c>
      <c r="C93" s="58" t="s">
        <v>138</v>
      </c>
      <c r="D93" s="53" t="s">
        <v>335</v>
      </c>
      <c r="E93" s="73"/>
      <c r="F93" s="74"/>
      <c r="G93" s="16"/>
      <c r="H93" s="1"/>
      <c r="I93" s="1"/>
      <c r="J93" s="19"/>
    </row>
    <row r="94" spans="1:10" x14ac:dyDescent="0.25">
      <c r="A94" s="1">
        <f t="shared" si="1"/>
        <v>21</v>
      </c>
      <c r="B94" s="31" t="s">
        <v>139</v>
      </c>
      <c r="C94" s="58" t="s">
        <v>140</v>
      </c>
      <c r="D94" s="53" t="s">
        <v>335</v>
      </c>
      <c r="E94" s="73"/>
      <c r="F94" s="74"/>
      <c r="G94" s="16"/>
      <c r="H94" s="1"/>
      <c r="I94" s="1"/>
      <c r="J94" s="19"/>
    </row>
    <row r="95" spans="1:10" x14ac:dyDescent="0.25">
      <c r="A95" s="1">
        <f t="shared" si="1"/>
        <v>22</v>
      </c>
      <c r="B95" s="31" t="s">
        <v>141</v>
      </c>
      <c r="C95" s="58" t="s">
        <v>142</v>
      </c>
      <c r="D95" s="53" t="s">
        <v>335</v>
      </c>
      <c r="E95" s="73"/>
      <c r="F95" s="74"/>
      <c r="G95" s="16"/>
      <c r="H95" s="1"/>
      <c r="I95" s="1"/>
      <c r="J95" s="19"/>
    </row>
    <row r="96" spans="1:10" x14ac:dyDescent="0.25">
      <c r="A96" s="1">
        <f t="shared" si="1"/>
        <v>23</v>
      </c>
      <c r="B96" s="31" t="s">
        <v>143</v>
      </c>
      <c r="C96" s="58" t="s">
        <v>144</v>
      </c>
      <c r="D96" s="53" t="s">
        <v>335</v>
      </c>
      <c r="E96" s="73"/>
      <c r="F96" s="74"/>
      <c r="G96" s="16"/>
      <c r="H96" s="1"/>
      <c r="I96" s="1"/>
      <c r="J96" s="19"/>
    </row>
    <row r="97" spans="1:10" x14ac:dyDescent="0.25">
      <c r="A97" s="1">
        <f t="shared" si="1"/>
        <v>24</v>
      </c>
      <c r="B97" s="31" t="s">
        <v>145</v>
      </c>
      <c r="C97" s="58" t="s">
        <v>146</v>
      </c>
      <c r="D97" s="53" t="s">
        <v>335</v>
      </c>
      <c r="E97" s="73"/>
      <c r="F97" s="74"/>
      <c r="G97" s="16"/>
      <c r="H97" s="1"/>
      <c r="I97" s="1"/>
      <c r="J97" s="19"/>
    </row>
    <row r="98" spans="1:10" x14ac:dyDescent="0.25">
      <c r="A98" s="1">
        <f t="shared" si="1"/>
        <v>25</v>
      </c>
      <c r="B98" s="31" t="s">
        <v>147</v>
      </c>
      <c r="C98" s="58" t="s">
        <v>148</v>
      </c>
      <c r="D98" s="53" t="s">
        <v>335</v>
      </c>
      <c r="E98" s="73"/>
      <c r="F98" s="74"/>
      <c r="G98" s="16"/>
      <c r="H98" s="1"/>
      <c r="I98" s="1"/>
      <c r="J98" s="19"/>
    </row>
    <row r="99" spans="1:10" x14ac:dyDescent="0.25">
      <c r="A99" s="1">
        <f t="shared" si="1"/>
        <v>26</v>
      </c>
      <c r="B99" s="31" t="s">
        <v>149</v>
      </c>
      <c r="C99" s="58" t="s">
        <v>150</v>
      </c>
      <c r="D99" s="53" t="s">
        <v>335</v>
      </c>
      <c r="E99" s="73"/>
      <c r="F99" s="74"/>
      <c r="G99" s="16"/>
      <c r="H99" s="1"/>
      <c r="I99" s="1"/>
      <c r="J99" s="19"/>
    </row>
    <row r="100" spans="1:10" x14ac:dyDescent="0.25">
      <c r="A100" s="1">
        <f t="shared" si="1"/>
        <v>27</v>
      </c>
      <c r="B100" s="31" t="s">
        <v>151</v>
      </c>
      <c r="C100" s="58" t="s">
        <v>152</v>
      </c>
      <c r="D100" s="53" t="s">
        <v>335</v>
      </c>
      <c r="E100" s="73"/>
      <c r="F100" s="74"/>
      <c r="G100" s="16"/>
      <c r="H100" s="1"/>
      <c r="I100" s="1"/>
      <c r="J100" s="19"/>
    </row>
    <row r="101" spans="1:10" x14ac:dyDescent="0.25">
      <c r="A101" s="1">
        <f t="shared" si="1"/>
        <v>28</v>
      </c>
      <c r="B101" s="31" t="s">
        <v>153</v>
      </c>
      <c r="C101" s="58" t="s">
        <v>154</v>
      </c>
      <c r="D101" s="53" t="s">
        <v>335</v>
      </c>
      <c r="E101" s="73"/>
      <c r="F101" s="74"/>
      <c r="G101" s="16"/>
      <c r="H101" s="1"/>
      <c r="I101" s="1"/>
      <c r="J101" s="19"/>
    </row>
    <row r="102" spans="1:10" x14ac:dyDescent="0.25">
      <c r="A102" s="1">
        <f t="shared" si="1"/>
        <v>29</v>
      </c>
      <c r="B102" s="31" t="s">
        <v>155</v>
      </c>
      <c r="C102" s="58" t="s">
        <v>156</v>
      </c>
      <c r="D102" s="53" t="s">
        <v>335</v>
      </c>
      <c r="E102" s="73"/>
      <c r="F102" s="74"/>
      <c r="G102" s="16"/>
      <c r="H102" s="1"/>
      <c r="I102" s="1"/>
      <c r="J102" s="19"/>
    </row>
    <row r="103" spans="1:10" x14ac:dyDescent="0.25">
      <c r="A103" s="1">
        <f t="shared" si="1"/>
        <v>30</v>
      </c>
      <c r="B103" s="31" t="s">
        <v>157</v>
      </c>
      <c r="C103" s="58" t="s">
        <v>158</v>
      </c>
      <c r="D103" s="53" t="s">
        <v>335</v>
      </c>
      <c r="E103" s="73"/>
      <c r="F103" s="74"/>
      <c r="G103" s="16"/>
      <c r="H103" s="1"/>
      <c r="I103" s="1"/>
      <c r="J103" s="19"/>
    </row>
    <row r="104" spans="1:10" x14ac:dyDescent="0.25">
      <c r="A104" s="1">
        <f t="shared" si="1"/>
        <v>31</v>
      </c>
      <c r="B104" s="31" t="s">
        <v>159</v>
      </c>
      <c r="C104" s="58" t="s">
        <v>160</v>
      </c>
      <c r="D104" s="53" t="s">
        <v>335</v>
      </c>
      <c r="E104" s="73"/>
      <c r="F104" s="74"/>
      <c r="G104" s="16"/>
      <c r="H104" s="1"/>
      <c r="I104" s="1"/>
      <c r="J104" s="19"/>
    </row>
    <row r="105" spans="1:10" x14ac:dyDescent="0.25">
      <c r="A105" s="1">
        <f t="shared" si="1"/>
        <v>32</v>
      </c>
      <c r="B105" s="56" t="s">
        <v>161</v>
      </c>
      <c r="C105" s="57" t="s">
        <v>162</v>
      </c>
      <c r="D105" s="53" t="s">
        <v>335</v>
      </c>
      <c r="E105" s="73"/>
      <c r="F105" s="74"/>
      <c r="G105" s="16"/>
      <c r="H105" s="1"/>
      <c r="I105" s="1"/>
      <c r="J105" s="19"/>
    </row>
    <row r="106" spans="1:10" x14ac:dyDescent="0.25">
      <c r="A106" s="1">
        <f t="shared" si="1"/>
        <v>33</v>
      </c>
      <c r="B106" s="31" t="s">
        <v>163</v>
      </c>
      <c r="C106" s="58" t="s">
        <v>164</v>
      </c>
      <c r="D106" s="53" t="s">
        <v>335</v>
      </c>
      <c r="E106" s="73"/>
      <c r="F106" s="74"/>
      <c r="G106" s="16"/>
      <c r="H106" s="1"/>
      <c r="I106" s="1"/>
      <c r="J106" s="19"/>
    </row>
    <row r="107" spans="1:10" x14ac:dyDescent="0.25">
      <c r="A107" s="1">
        <f t="shared" ref="A107:A138" si="2">A106+1</f>
        <v>34</v>
      </c>
      <c r="B107" s="31" t="s">
        <v>165</v>
      </c>
      <c r="C107" s="58" t="s">
        <v>166</v>
      </c>
      <c r="D107" s="53" t="s">
        <v>335</v>
      </c>
      <c r="E107" s="73"/>
      <c r="F107" s="74"/>
      <c r="G107" s="16"/>
      <c r="H107" s="1"/>
      <c r="I107" s="1"/>
      <c r="J107" s="19"/>
    </row>
    <row r="108" spans="1:10" x14ac:dyDescent="0.25">
      <c r="A108" s="1">
        <f t="shared" si="2"/>
        <v>35</v>
      </c>
      <c r="B108" s="31" t="s">
        <v>167</v>
      </c>
      <c r="C108" s="58" t="s">
        <v>168</v>
      </c>
      <c r="D108" s="53" t="s">
        <v>335</v>
      </c>
      <c r="E108" s="73"/>
      <c r="F108" s="74"/>
      <c r="G108" s="16"/>
      <c r="H108" s="1"/>
      <c r="I108" s="1"/>
      <c r="J108" s="19"/>
    </row>
    <row r="109" spans="1:10" x14ac:dyDescent="0.25">
      <c r="A109" s="1">
        <f t="shared" si="2"/>
        <v>36</v>
      </c>
      <c r="B109" s="31" t="s">
        <v>169</v>
      </c>
      <c r="C109" s="58" t="s">
        <v>170</v>
      </c>
      <c r="D109" s="53" t="s">
        <v>335</v>
      </c>
      <c r="E109" s="73"/>
      <c r="F109" s="74"/>
      <c r="G109" s="16"/>
      <c r="H109" s="1"/>
      <c r="I109" s="1"/>
      <c r="J109" s="19"/>
    </row>
    <row r="110" spans="1:10" x14ac:dyDescent="0.25">
      <c r="A110" s="1">
        <f t="shared" si="2"/>
        <v>37</v>
      </c>
      <c r="B110" s="31" t="s">
        <v>171</v>
      </c>
      <c r="C110" s="58" t="s">
        <v>172</v>
      </c>
      <c r="D110" s="53" t="s">
        <v>335</v>
      </c>
      <c r="E110" s="73"/>
      <c r="F110" s="74"/>
      <c r="G110" s="16"/>
      <c r="H110" s="1"/>
      <c r="I110" s="1"/>
      <c r="J110" s="19"/>
    </row>
    <row r="111" spans="1:10" x14ac:dyDescent="0.25">
      <c r="A111" s="1">
        <f t="shared" si="2"/>
        <v>38</v>
      </c>
      <c r="B111" s="31" t="s">
        <v>173</v>
      </c>
      <c r="C111" s="58" t="s">
        <v>174</v>
      </c>
      <c r="D111" s="53" t="s">
        <v>335</v>
      </c>
      <c r="E111" s="73"/>
      <c r="F111" s="74"/>
      <c r="G111" s="16"/>
      <c r="H111" s="1"/>
      <c r="I111" s="1"/>
      <c r="J111" s="19"/>
    </row>
    <row r="112" spans="1:10" x14ac:dyDescent="0.25">
      <c r="A112" s="1">
        <f t="shared" si="2"/>
        <v>39</v>
      </c>
      <c r="B112" s="31" t="s">
        <v>175</v>
      </c>
      <c r="C112" s="58" t="s">
        <v>176</v>
      </c>
      <c r="D112" s="53" t="s">
        <v>335</v>
      </c>
      <c r="E112" s="73"/>
      <c r="F112" s="74"/>
      <c r="G112" s="16"/>
      <c r="H112" s="1"/>
      <c r="I112" s="1"/>
      <c r="J112" s="19"/>
    </row>
    <row r="113" spans="1:10" x14ac:dyDescent="0.25">
      <c r="A113" s="1">
        <f t="shared" si="2"/>
        <v>40</v>
      </c>
      <c r="B113" s="31" t="s">
        <v>177</v>
      </c>
      <c r="C113" s="58" t="s">
        <v>178</v>
      </c>
      <c r="D113" s="53" t="s">
        <v>335</v>
      </c>
      <c r="E113" s="73"/>
      <c r="F113" s="74"/>
      <c r="G113" s="16"/>
      <c r="H113" s="1"/>
      <c r="I113" s="1"/>
      <c r="J113" s="19"/>
    </row>
    <row r="114" spans="1:10" x14ac:dyDescent="0.25">
      <c r="A114" s="1">
        <f t="shared" si="2"/>
        <v>41</v>
      </c>
      <c r="B114" s="31" t="s">
        <v>179</v>
      </c>
      <c r="C114" s="58" t="s">
        <v>180</v>
      </c>
      <c r="D114" s="53" t="s">
        <v>335</v>
      </c>
      <c r="E114" s="73"/>
      <c r="F114" s="74"/>
      <c r="G114" s="16"/>
      <c r="H114" s="1"/>
      <c r="I114" s="1"/>
      <c r="J114" s="19"/>
    </row>
    <row r="115" spans="1:10" x14ac:dyDescent="0.25">
      <c r="A115" s="1">
        <f t="shared" si="2"/>
        <v>42</v>
      </c>
      <c r="B115" s="31" t="s">
        <v>181</v>
      </c>
      <c r="C115" s="58" t="s">
        <v>182</v>
      </c>
      <c r="D115" s="53" t="s">
        <v>335</v>
      </c>
      <c r="E115" s="73"/>
      <c r="F115" s="74"/>
      <c r="G115" s="16"/>
      <c r="H115" s="1"/>
      <c r="I115" s="1"/>
      <c r="J115" s="19"/>
    </row>
    <row r="116" spans="1:10" x14ac:dyDescent="0.25">
      <c r="A116" s="1">
        <f t="shared" si="2"/>
        <v>43</v>
      </c>
      <c r="B116" s="31" t="s">
        <v>183</v>
      </c>
      <c r="C116" s="58" t="s">
        <v>184</v>
      </c>
      <c r="D116" s="53" t="s">
        <v>335</v>
      </c>
      <c r="E116" s="73"/>
      <c r="F116" s="74"/>
      <c r="G116" s="16"/>
      <c r="H116" s="1"/>
      <c r="I116" s="1"/>
      <c r="J116" s="19"/>
    </row>
    <row r="117" spans="1:10" x14ac:dyDescent="0.25">
      <c r="A117" s="1">
        <f t="shared" si="2"/>
        <v>44</v>
      </c>
      <c r="B117" s="31" t="s">
        <v>185</v>
      </c>
      <c r="C117" s="58" t="s">
        <v>186</v>
      </c>
      <c r="D117" s="53" t="s">
        <v>335</v>
      </c>
      <c r="E117" s="73"/>
      <c r="F117" s="74"/>
      <c r="G117" s="16"/>
      <c r="H117" s="1"/>
      <c r="I117" s="1"/>
      <c r="J117" s="19"/>
    </row>
    <row r="118" spans="1:10" x14ac:dyDescent="0.25">
      <c r="A118" s="1">
        <f t="shared" si="2"/>
        <v>45</v>
      </c>
      <c r="B118" s="31" t="s">
        <v>187</v>
      </c>
      <c r="C118" s="58" t="s">
        <v>188</v>
      </c>
      <c r="D118" s="53" t="s">
        <v>335</v>
      </c>
      <c r="E118" s="73"/>
      <c r="F118" s="74"/>
      <c r="G118" s="16"/>
      <c r="H118" s="1"/>
      <c r="I118" s="1"/>
      <c r="J118" s="19"/>
    </row>
    <row r="119" spans="1:10" x14ac:dyDescent="0.25">
      <c r="A119" s="1">
        <f t="shared" si="2"/>
        <v>46</v>
      </c>
      <c r="B119" s="31" t="s">
        <v>189</v>
      </c>
      <c r="C119" s="58" t="s">
        <v>190</v>
      </c>
      <c r="D119" s="53" t="s">
        <v>335</v>
      </c>
      <c r="E119" s="73"/>
      <c r="F119" s="74"/>
      <c r="G119" s="16"/>
      <c r="H119" s="1"/>
      <c r="I119" s="1"/>
      <c r="J119" s="19"/>
    </row>
    <row r="120" spans="1:10" x14ac:dyDescent="0.25">
      <c r="A120" s="1">
        <f t="shared" si="2"/>
        <v>47</v>
      </c>
      <c r="B120" s="31" t="s">
        <v>191</v>
      </c>
      <c r="C120" s="58" t="s">
        <v>192</v>
      </c>
      <c r="D120" s="53" t="s">
        <v>335</v>
      </c>
      <c r="E120" s="73"/>
      <c r="F120" s="74"/>
      <c r="G120" s="16"/>
      <c r="H120" s="1"/>
      <c r="I120" s="1"/>
      <c r="J120" s="19"/>
    </row>
    <row r="121" spans="1:10" x14ac:dyDescent="0.25">
      <c r="A121" s="1">
        <f t="shared" si="2"/>
        <v>48</v>
      </c>
      <c r="B121" s="31" t="s">
        <v>193</v>
      </c>
      <c r="C121" s="58" t="s">
        <v>194</v>
      </c>
      <c r="D121" s="53" t="s">
        <v>335</v>
      </c>
      <c r="E121" s="73"/>
      <c r="F121" s="74"/>
      <c r="G121" s="16"/>
      <c r="H121" s="1"/>
      <c r="I121" s="1"/>
      <c r="J121" s="19"/>
    </row>
    <row r="122" spans="1:10" x14ac:dyDescent="0.25">
      <c r="A122" s="1">
        <f t="shared" si="2"/>
        <v>49</v>
      </c>
      <c r="B122" s="31" t="s">
        <v>195</v>
      </c>
      <c r="C122" s="58" t="s">
        <v>196</v>
      </c>
      <c r="D122" s="53" t="s">
        <v>335</v>
      </c>
      <c r="E122" s="73"/>
      <c r="F122" s="74"/>
      <c r="G122" s="16"/>
      <c r="H122" s="1"/>
      <c r="I122" s="1"/>
      <c r="J122" s="19"/>
    </row>
    <row r="123" spans="1:10" x14ac:dyDescent="0.25">
      <c r="A123" s="1">
        <f t="shared" si="2"/>
        <v>50</v>
      </c>
      <c r="B123" s="31" t="s">
        <v>197</v>
      </c>
      <c r="C123" s="58" t="s">
        <v>198</v>
      </c>
      <c r="D123" s="53" t="s">
        <v>335</v>
      </c>
      <c r="E123" s="73"/>
      <c r="F123" s="74"/>
      <c r="G123" s="16"/>
      <c r="H123" s="1"/>
      <c r="I123" s="1"/>
      <c r="J123" s="19"/>
    </row>
    <row r="124" spans="1:10" x14ac:dyDescent="0.25">
      <c r="A124" s="1">
        <f t="shared" si="2"/>
        <v>51</v>
      </c>
      <c r="B124" s="31" t="s">
        <v>199</v>
      </c>
      <c r="C124" s="58" t="s">
        <v>200</v>
      </c>
      <c r="D124" s="53" t="s">
        <v>335</v>
      </c>
      <c r="E124" s="73"/>
      <c r="F124" s="74"/>
      <c r="G124" s="16"/>
      <c r="H124" s="1"/>
      <c r="I124" s="1"/>
      <c r="J124" s="19"/>
    </row>
    <row r="125" spans="1:10" x14ac:dyDescent="0.25">
      <c r="A125" s="1">
        <f t="shared" si="2"/>
        <v>52</v>
      </c>
      <c r="B125" s="31" t="s">
        <v>201</v>
      </c>
      <c r="C125" s="58" t="s">
        <v>202</v>
      </c>
      <c r="D125" s="53" t="s">
        <v>335</v>
      </c>
      <c r="E125" s="73"/>
      <c r="F125" s="74"/>
      <c r="G125" s="16"/>
      <c r="H125" s="1"/>
      <c r="I125" s="1"/>
      <c r="J125" s="19"/>
    </row>
    <row r="126" spans="1:10" x14ac:dyDescent="0.25">
      <c r="A126" s="1">
        <f t="shared" si="2"/>
        <v>53</v>
      </c>
      <c r="B126" s="31" t="s">
        <v>203</v>
      </c>
      <c r="C126" s="58" t="s">
        <v>204</v>
      </c>
      <c r="D126" s="53" t="s">
        <v>335</v>
      </c>
      <c r="E126" s="73"/>
      <c r="F126" s="74"/>
      <c r="G126" s="16"/>
      <c r="H126" s="1"/>
      <c r="I126" s="1"/>
      <c r="J126" s="19"/>
    </row>
    <row r="127" spans="1:10" x14ac:dyDescent="0.25">
      <c r="A127" s="1">
        <f t="shared" si="2"/>
        <v>54</v>
      </c>
      <c r="B127" s="31" t="s">
        <v>205</v>
      </c>
      <c r="C127" s="58" t="s">
        <v>206</v>
      </c>
      <c r="D127" s="53" t="s">
        <v>335</v>
      </c>
      <c r="E127" s="73"/>
      <c r="F127" s="74"/>
      <c r="G127" s="16"/>
      <c r="H127" s="1"/>
      <c r="I127" s="1"/>
      <c r="J127" s="19"/>
    </row>
    <row r="128" spans="1:10" x14ac:dyDescent="0.25">
      <c r="A128" s="1">
        <f t="shared" si="2"/>
        <v>55</v>
      </c>
      <c r="B128" s="31" t="s">
        <v>207</v>
      </c>
      <c r="C128" s="58" t="s">
        <v>208</v>
      </c>
      <c r="D128" s="53" t="s">
        <v>335</v>
      </c>
      <c r="E128" s="73"/>
      <c r="F128" s="74"/>
      <c r="G128" s="16"/>
      <c r="H128" s="1"/>
      <c r="I128" s="1"/>
      <c r="J128" s="19"/>
    </row>
    <row r="129" spans="1:10" x14ac:dyDescent="0.25">
      <c r="A129" s="1">
        <f t="shared" si="2"/>
        <v>56</v>
      </c>
      <c r="B129" s="31" t="s">
        <v>209</v>
      </c>
      <c r="C129" s="58" t="s">
        <v>210</v>
      </c>
      <c r="D129" s="53" t="s">
        <v>335</v>
      </c>
      <c r="E129" s="73"/>
      <c r="F129" s="74"/>
      <c r="G129" s="16"/>
      <c r="H129" s="1"/>
      <c r="I129" s="1"/>
      <c r="J129" s="19"/>
    </row>
    <row r="130" spans="1:10" x14ac:dyDescent="0.25">
      <c r="A130" s="1">
        <f t="shared" si="2"/>
        <v>57</v>
      </c>
      <c r="B130" s="31" t="s">
        <v>211</v>
      </c>
      <c r="C130" s="58" t="s">
        <v>212</v>
      </c>
      <c r="D130" s="53" t="s">
        <v>335</v>
      </c>
      <c r="E130" s="73"/>
      <c r="F130" s="74"/>
      <c r="G130" s="16"/>
      <c r="H130" s="1"/>
      <c r="I130" s="1"/>
      <c r="J130" s="19"/>
    </row>
    <row r="131" spans="1:10" x14ac:dyDescent="0.25">
      <c r="A131" s="1">
        <f t="shared" si="2"/>
        <v>58</v>
      </c>
      <c r="B131" s="31" t="s">
        <v>218</v>
      </c>
      <c r="C131" s="58" t="s">
        <v>217</v>
      </c>
      <c r="D131" s="53" t="s">
        <v>335</v>
      </c>
      <c r="E131" s="73"/>
      <c r="F131" s="74"/>
      <c r="G131" s="16"/>
      <c r="H131" s="1"/>
      <c r="I131" s="1"/>
      <c r="J131" s="19"/>
    </row>
    <row r="132" spans="1:10" x14ac:dyDescent="0.25">
      <c r="A132" s="1">
        <f t="shared" si="2"/>
        <v>59</v>
      </c>
      <c r="B132" s="31" t="s">
        <v>213</v>
      </c>
      <c r="C132" s="58" t="s">
        <v>214</v>
      </c>
      <c r="D132" s="53" t="s">
        <v>335</v>
      </c>
      <c r="E132" s="73"/>
      <c r="F132" s="74"/>
      <c r="G132" s="16"/>
      <c r="H132" s="1"/>
      <c r="I132" s="1"/>
      <c r="J132" s="19"/>
    </row>
    <row r="133" spans="1:10" x14ac:dyDescent="0.25">
      <c r="A133" s="1">
        <f t="shared" si="2"/>
        <v>60</v>
      </c>
      <c r="B133" s="31" t="s">
        <v>215</v>
      </c>
      <c r="C133" s="58" t="s">
        <v>216</v>
      </c>
      <c r="D133" s="53" t="s">
        <v>335</v>
      </c>
      <c r="E133" s="73"/>
      <c r="F133" s="74"/>
      <c r="G133" s="16"/>
      <c r="H133" s="1"/>
      <c r="I133" s="1"/>
      <c r="J133" s="19"/>
    </row>
    <row r="134" spans="1:10" x14ac:dyDescent="0.25">
      <c r="A134" s="1">
        <f t="shared" si="2"/>
        <v>61</v>
      </c>
      <c r="B134" s="31" t="s">
        <v>219</v>
      </c>
      <c r="C134" s="58" t="s">
        <v>220</v>
      </c>
      <c r="D134" s="53" t="s">
        <v>335</v>
      </c>
      <c r="E134" s="73"/>
      <c r="F134" s="74"/>
      <c r="G134" s="16"/>
      <c r="H134" s="1"/>
      <c r="I134" s="1"/>
      <c r="J134" s="19"/>
    </row>
    <row r="135" spans="1:10" x14ac:dyDescent="0.25">
      <c r="A135" s="1">
        <f t="shared" si="2"/>
        <v>62</v>
      </c>
      <c r="B135" s="31" t="s">
        <v>221</v>
      </c>
      <c r="C135" s="58" t="s">
        <v>222</v>
      </c>
      <c r="D135" s="53" t="s">
        <v>335</v>
      </c>
      <c r="E135" s="73"/>
      <c r="F135" s="74"/>
      <c r="G135" s="16"/>
      <c r="H135" s="1"/>
      <c r="I135" s="1"/>
      <c r="J135" s="19"/>
    </row>
    <row r="136" spans="1:10" x14ac:dyDescent="0.25">
      <c r="A136" s="1">
        <f t="shared" si="2"/>
        <v>63</v>
      </c>
      <c r="B136" s="31" t="s">
        <v>223</v>
      </c>
      <c r="C136" s="58" t="s">
        <v>224</v>
      </c>
      <c r="D136" s="53" t="s">
        <v>335</v>
      </c>
      <c r="E136" s="73"/>
      <c r="F136" s="74"/>
      <c r="G136" s="16"/>
      <c r="H136" s="1"/>
      <c r="I136" s="1"/>
      <c r="J136" s="19"/>
    </row>
    <row r="137" spans="1:10" x14ac:dyDescent="0.25">
      <c r="A137" s="1">
        <f t="shared" si="2"/>
        <v>64</v>
      </c>
      <c r="B137" s="31" t="s">
        <v>225</v>
      </c>
      <c r="C137" s="58" t="s">
        <v>226</v>
      </c>
      <c r="D137" s="53" t="s">
        <v>335</v>
      </c>
      <c r="E137" s="73"/>
      <c r="F137" s="74"/>
      <c r="G137" s="16"/>
      <c r="H137" s="1"/>
      <c r="I137" s="1"/>
      <c r="J137" s="19"/>
    </row>
    <row r="138" spans="1:10" x14ac:dyDescent="0.25">
      <c r="A138" s="1">
        <f t="shared" si="2"/>
        <v>65</v>
      </c>
      <c r="B138" s="31" t="s">
        <v>227</v>
      </c>
      <c r="C138" s="58" t="s">
        <v>228</v>
      </c>
      <c r="D138" s="53" t="s">
        <v>335</v>
      </c>
      <c r="E138" s="73"/>
      <c r="F138" s="74"/>
      <c r="G138" s="16"/>
      <c r="H138" s="1"/>
      <c r="I138" s="1"/>
      <c r="J138" s="19"/>
    </row>
    <row r="139" spans="1:10" x14ac:dyDescent="0.25">
      <c r="A139" s="1">
        <f t="shared" ref="A139:A159" si="3">A138+1</f>
        <v>66</v>
      </c>
      <c r="B139" s="31" t="s">
        <v>229</v>
      </c>
      <c r="C139" s="58" t="s">
        <v>230</v>
      </c>
      <c r="D139" s="53" t="s">
        <v>335</v>
      </c>
      <c r="E139" s="73"/>
      <c r="F139" s="74"/>
      <c r="G139" s="16"/>
      <c r="H139" s="1"/>
      <c r="I139" s="1"/>
      <c r="J139" s="19"/>
    </row>
    <row r="140" spans="1:10" x14ac:dyDescent="0.25">
      <c r="A140" s="1">
        <f t="shared" si="3"/>
        <v>67</v>
      </c>
      <c r="B140" s="31" t="s">
        <v>231</v>
      </c>
      <c r="C140" s="58" t="s">
        <v>232</v>
      </c>
      <c r="D140" s="53" t="s">
        <v>335</v>
      </c>
      <c r="E140" s="73"/>
      <c r="F140" s="74"/>
      <c r="G140" s="16"/>
      <c r="H140" s="1"/>
      <c r="I140" s="1"/>
      <c r="J140" s="19"/>
    </row>
    <row r="141" spans="1:10" x14ac:dyDescent="0.25">
      <c r="A141" s="1">
        <f t="shared" si="3"/>
        <v>68</v>
      </c>
      <c r="B141" s="31" t="s">
        <v>233</v>
      </c>
      <c r="C141" s="58" t="s">
        <v>234</v>
      </c>
      <c r="D141" s="53" t="s">
        <v>335</v>
      </c>
      <c r="E141" s="73"/>
      <c r="F141" s="74"/>
      <c r="G141" s="16"/>
      <c r="H141" s="1"/>
      <c r="I141" s="1"/>
      <c r="J141" s="19"/>
    </row>
    <row r="142" spans="1:10" x14ac:dyDescent="0.25">
      <c r="A142" s="1">
        <f t="shared" si="3"/>
        <v>69</v>
      </c>
      <c r="B142" s="31" t="s">
        <v>235</v>
      </c>
      <c r="C142" s="58" t="s">
        <v>236</v>
      </c>
      <c r="D142" s="53" t="s">
        <v>335</v>
      </c>
      <c r="E142" s="73"/>
      <c r="F142" s="74"/>
      <c r="G142" s="16"/>
      <c r="H142" s="1"/>
      <c r="I142" s="1"/>
      <c r="J142" s="19"/>
    </row>
    <row r="143" spans="1:10" x14ac:dyDescent="0.25">
      <c r="A143" s="1">
        <f t="shared" si="3"/>
        <v>70</v>
      </c>
      <c r="B143" s="56" t="s">
        <v>237</v>
      </c>
      <c r="C143" s="57" t="s">
        <v>238</v>
      </c>
      <c r="D143" s="53" t="s">
        <v>335</v>
      </c>
      <c r="E143" s="73"/>
      <c r="F143" s="74"/>
      <c r="G143" s="16"/>
      <c r="H143" s="1"/>
      <c r="I143" s="1"/>
      <c r="J143" s="19"/>
    </row>
    <row r="144" spans="1:10" x14ac:dyDescent="0.25">
      <c r="A144" s="1">
        <f t="shared" si="3"/>
        <v>71</v>
      </c>
      <c r="B144" s="31" t="s">
        <v>239</v>
      </c>
      <c r="C144" s="58" t="s">
        <v>240</v>
      </c>
      <c r="D144" s="53" t="s">
        <v>335</v>
      </c>
      <c r="E144" s="73"/>
      <c r="F144" s="74"/>
      <c r="G144" s="16"/>
      <c r="H144" s="1"/>
      <c r="I144" s="1"/>
      <c r="J144" s="19"/>
    </row>
    <row r="145" spans="1:10" x14ac:dyDescent="0.25">
      <c r="A145" s="1">
        <f t="shared" si="3"/>
        <v>72</v>
      </c>
      <c r="B145" s="31" t="s">
        <v>241</v>
      </c>
      <c r="C145" s="58" t="s">
        <v>242</v>
      </c>
      <c r="D145" s="53" t="s">
        <v>335</v>
      </c>
      <c r="E145" s="73"/>
      <c r="F145" s="74"/>
      <c r="G145" s="16"/>
      <c r="H145" s="1"/>
      <c r="I145" s="1"/>
      <c r="J145" s="19"/>
    </row>
    <row r="146" spans="1:10" x14ac:dyDescent="0.25">
      <c r="A146" s="1">
        <f t="shared" si="3"/>
        <v>73</v>
      </c>
      <c r="B146" s="31" t="s">
        <v>243</v>
      </c>
      <c r="C146" s="58" t="s">
        <v>244</v>
      </c>
      <c r="D146" s="53" t="s">
        <v>335</v>
      </c>
      <c r="E146" s="73"/>
      <c r="F146" s="74"/>
      <c r="G146" s="16"/>
      <c r="H146" s="1"/>
      <c r="I146" s="1"/>
      <c r="J146" s="19"/>
    </row>
    <row r="147" spans="1:10" x14ac:dyDescent="0.25">
      <c r="A147" s="1">
        <f t="shared" si="3"/>
        <v>74</v>
      </c>
      <c r="B147" s="31" t="s">
        <v>245</v>
      </c>
      <c r="C147" s="58" t="s">
        <v>246</v>
      </c>
      <c r="D147" s="53" t="s">
        <v>335</v>
      </c>
      <c r="E147" s="73"/>
      <c r="F147" s="74"/>
      <c r="G147" s="16"/>
      <c r="H147" s="1"/>
      <c r="I147" s="1"/>
      <c r="J147" s="19"/>
    </row>
    <row r="148" spans="1:10" x14ac:dyDescent="0.25">
      <c r="A148" s="1">
        <f>A147+1</f>
        <v>75</v>
      </c>
      <c r="B148" s="31" t="s">
        <v>247</v>
      </c>
      <c r="C148" s="58" t="s">
        <v>248</v>
      </c>
      <c r="D148" s="53" t="s">
        <v>335</v>
      </c>
      <c r="E148" s="73"/>
      <c r="F148" s="74"/>
      <c r="G148" s="16"/>
      <c r="H148" s="1"/>
      <c r="I148" s="1"/>
      <c r="J148" s="19"/>
    </row>
    <row r="149" spans="1:10" x14ac:dyDescent="0.25">
      <c r="A149" s="1">
        <f t="shared" si="3"/>
        <v>76</v>
      </c>
      <c r="B149" s="31" t="s">
        <v>249</v>
      </c>
      <c r="C149" s="58"/>
      <c r="D149" s="53" t="s">
        <v>335</v>
      </c>
      <c r="E149" s="73"/>
      <c r="F149" s="74"/>
      <c r="G149" s="16"/>
      <c r="H149" s="1"/>
      <c r="I149" s="1"/>
      <c r="J149" s="19"/>
    </row>
    <row r="150" spans="1:10" x14ac:dyDescent="0.25">
      <c r="A150" s="1">
        <f t="shared" si="3"/>
        <v>77</v>
      </c>
      <c r="B150" s="31" t="s">
        <v>250</v>
      </c>
      <c r="C150" s="58"/>
      <c r="D150" s="53" t="s">
        <v>335</v>
      </c>
      <c r="E150" s="73"/>
      <c r="F150" s="74"/>
      <c r="G150" s="16"/>
      <c r="H150" s="1"/>
      <c r="I150" s="1"/>
      <c r="J150" s="19"/>
    </row>
    <row r="151" spans="1:10" x14ac:dyDescent="0.25">
      <c r="A151" s="1">
        <f t="shared" si="3"/>
        <v>78</v>
      </c>
      <c r="B151" s="31" t="s">
        <v>251</v>
      </c>
      <c r="C151" s="58"/>
      <c r="D151" s="53" t="s">
        <v>335</v>
      </c>
      <c r="E151" s="73"/>
      <c r="F151" s="74"/>
      <c r="G151" s="16"/>
      <c r="H151" s="9"/>
      <c r="I151" s="1"/>
      <c r="J151" s="19"/>
    </row>
    <row r="152" spans="1:10" x14ac:dyDescent="0.25">
      <c r="A152" s="1">
        <f t="shared" si="3"/>
        <v>79</v>
      </c>
      <c r="B152" s="31" t="s">
        <v>252</v>
      </c>
      <c r="C152" s="58" t="s">
        <v>253</v>
      </c>
      <c r="D152" s="53" t="s">
        <v>335</v>
      </c>
      <c r="E152" s="73"/>
      <c r="F152" s="74"/>
      <c r="G152" s="16"/>
      <c r="H152" s="9"/>
      <c r="I152" s="1"/>
      <c r="J152" s="19"/>
    </row>
    <row r="153" spans="1:10" x14ac:dyDescent="0.25">
      <c r="A153" s="1">
        <f t="shared" si="3"/>
        <v>80</v>
      </c>
      <c r="B153" s="31" t="s">
        <v>254</v>
      </c>
      <c r="C153" s="58" t="s">
        <v>255</v>
      </c>
      <c r="D153" s="53" t="s">
        <v>335</v>
      </c>
      <c r="E153" s="73"/>
      <c r="F153" s="74"/>
      <c r="G153" s="16"/>
      <c r="H153" s="1"/>
      <c r="I153" s="1"/>
      <c r="J153" s="19"/>
    </row>
    <row r="154" spans="1:10" x14ac:dyDescent="0.25">
      <c r="A154" s="1">
        <f t="shared" si="3"/>
        <v>81</v>
      </c>
      <c r="B154" s="31" t="s">
        <v>4</v>
      </c>
      <c r="C154" s="58"/>
      <c r="D154" s="53" t="s">
        <v>335</v>
      </c>
      <c r="E154" s="73"/>
      <c r="F154" s="74"/>
      <c r="G154" s="16"/>
      <c r="H154" s="1"/>
      <c r="I154" s="1"/>
      <c r="J154" s="19"/>
    </row>
    <row r="155" spans="1:10" x14ac:dyDescent="0.25">
      <c r="A155" s="1">
        <f t="shared" si="3"/>
        <v>82</v>
      </c>
      <c r="B155" s="31" t="s">
        <v>256</v>
      </c>
      <c r="C155" s="58" t="s">
        <v>257</v>
      </c>
      <c r="D155" s="53" t="s">
        <v>335</v>
      </c>
      <c r="E155" s="73"/>
      <c r="F155" s="74"/>
      <c r="G155" s="16"/>
      <c r="H155" s="1"/>
      <c r="I155" s="1"/>
      <c r="J155" s="19"/>
    </row>
    <row r="156" spans="1:10" x14ac:dyDescent="0.25">
      <c r="A156" s="1">
        <f t="shared" si="3"/>
        <v>83</v>
      </c>
      <c r="B156" s="31" t="s">
        <v>258</v>
      </c>
      <c r="C156" s="58" t="s">
        <v>259</v>
      </c>
      <c r="D156" s="53" t="s">
        <v>335</v>
      </c>
      <c r="E156" s="73"/>
      <c r="F156" s="74"/>
      <c r="G156" s="16"/>
      <c r="H156" s="1"/>
      <c r="I156" s="1"/>
      <c r="J156" s="19"/>
    </row>
    <row r="157" spans="1:10" x14ac:dyDescent="0.25">
      <c r="A157" s="1">
        <f t="shared" si="3"/>
        <v>84</v>
      </c>
      <c r="B157" s="31" t="s">
        <v>260</v>
      </c>
      <c r="C157" s="58" t="s">
        <v>261</v>
      </c>
      <c r="D157" s="53" t="s">
        <v>335</v>
      </c>
      <c r="E157" s="73"/>
      <c r="F157" s="74"/>
      <c r="G157" s="16"/>
      <c r="H157" s="1"/>
      <c r="I157" s="1"/>
      <c r="J157" s="19"/>
    </row>
    <row r="158" spans="1:10" x14ac:dyDescent="0.25">
      <c r="A158" s="1">
        <f t="shared" si="3"/>
        <v>85</v>
      </c>
      <c r="B158" s="31" t="s">
        <v>262</v>
      </c>
      <c r="C158" s="58" t="s">
        <v>263</v>
      </c>
      <c r="D158" s="53" t="s">
        <v>335</v>
      </c>
      <c r="E158" s="73"/>
      <c r="F158" s="74"/>
      <c r="G158" s="16"/>
      <c r="H158" s="1"/>
      <c r="I158" s="1"/>
      <c r="J158" s="19"/>
    </row>
    <row r="159" spans="1:10" x14ac:dyDescent="0.25">
      <c r="A159" s="1">
        <f t="shared" si="3"/>
        <v>86</v>
      </c>
      <c r="B159" s="31" t="s">
        <v>264</v>
      </c>
      <c r="C159" s="58" t="s">
        <v>265</v>
      </c>
      <c r="D159" s="53" t="s">
        <v>335</v>
      </c>
      <c r="E159" s="73"/>
      <c r="F159" s="74"/>
      <c r="G159" s="16"/>
      <c r="H159" s="1"/>
      <c r="I159" s="1"/>
      <c r="J159" s="19"/>
    </row>
    <row r="160" spans="1:10" x14ac:dyDescent="0.25">
      <c r="A160" s="1">
        <f t="shared" ref="A160:A203" si="4">A159+1</f>
        <v>87</v>
      </c>
      <c r="B160" s="31" t="s">
        <v>266</v>
      </c>
      <c r="C160" s="58" t="s">
        <v>267</v>
      </c>
      <c r="D160" s="53" t="s">
        <v>335</v>
      </c>
      <c r="E160" s="73"/>
      <c r="F160" s="74"/>
      <c r="G160" s="16"/>
      <c r="H160" s="1"/>
      <c r="I160" s="1"/>
      <c r="J160" s="19"/>
    </row>
    <row r="161" spans="1:10" x14ac:dyDescent="0.25">
      <c r="A161" s="1">
        <f t="shared" si="4"/>
        <v>88</v>
      </c>
      <c r="B161" s="31" t="s">
        <v>268</v>
      </c>
      <c r="C161" s="58" t="s">
        <v>269</v>
      </c>
      <c r="D161" s="53" t="s">
        <v>335</v>
      </c>
      <c r="E161" s="73"/>
      <c r="F161" s="74"/>
      <c r="G161" s="16"/>
      <c r="H161" s="1"/>
      <c r="I161" s="1"/>
      <c r="J161" s="19"/>
    </row>
    <row r="162" spans="1:10" x14ac:dyDescent="0.25">
      <c r="A162" s="1">
        <f t="shared" si="4"/>
        <v>89</v>
      </c>
      <c r="B162" s="31" t="s">
        <v>271</v>
      </c>
      <c r="C162" s="58" t="s">
        <v>270</v>
      </c>
      <c r="D162" s="53" t="s">
        <v>335</v>
      </c>
      <c r="E162" s="73"/>
      <c r="F162" s="74"/>
      <c r="G162" s="16"/>
      <c r="H162" s="1"/>
      <c r="I162" s="1"/>
      <c r="J162" s="19"/>
    </row>
    <row r="163" spans="1:10" x14ac:dyDescent="0.25">
      <c r="A163" s="1">
        <f t="shared" si="4"/>
        <v>90</v>
      </c>
      <c r="B163" s="31" t="s">
        <v>272</v>
      </c>
      <c r="C163" s="58" t="s">
        <v>273</v>
      </c>
      <c r="D163" s="53" t="s">
        <v>335</v>
      </c>
      <c r="E163" s="73"/>
      <c r="F163" s="74"/>
      <c r="G163" s="16"/>
      <c r="H163" s="1"/>
      <c r="I163" s="1"/>
      <c r="J163" s="19"/>
    </row>
    <row r="164" spans="1:10" x14ac:dyDescent="0.25">
      <c r="A164" s="1">
        <f t="shared" si="4"/>
        <v>91</v>
      </c>
      <c r="B164" s="31" t="s">
        <v>274</v>
      </c>
      <c r="C164" s="58" t="s">
        <v>275</v>
      </c>
      <c r="D164" s="53" t="s">
        <v>335</v>
      </c>
      <c r="E164" s="73"/>
      <c r="F164" s="74"/>
      <c r="G164" s="16"/>
      <c r="H164" s="1"/>
      <c r="I164" s="1"/>
      <c r="J164" s="19"/>
    </row>
    <row r="165" spans="1:10" x14ac:dyDescent="0.25">
      <c r="A165" s="1">
        <f t="shared" si="4"/>
        <v>92</v>
      </c>
      <c r="B165" s="31" t="s">
        <v>276</v>
      </c>
      <c r="C165" s="58" t="s">
        <v>277</v>
      </c>
      <c r="D165" s="53" t="s">
        <v>335</v>
      </c>
      <c r="E165" s="73"/>
      <c r="F165" s="74"/>
      <c r="G165" s="16"/>
      <c r="H165" s="1"/>
      <c r="I165" s="1"/>
      <c r="J165" s="19"/>
    </row>
    <row r="166" spans="1:10" x14ac:dyDescent="0.25">
      <c r="A166" s="1">
        <f t="shared" si="4"/>
        <v>93</v>
      </c>
      <c r="B166" s="31" t="s">
        <v>278</v>
      </c>
      <c r="C166" s="58" t="s">
        <v>279</v>
      </c>
      <c r="D166" s="53" t="s">
        <v>335</v>
      </c>
      <c r="E166" s="73"/>
      <c r="F166" s="74"/>
      <c r="G166" s="16"/>
      <c r="H166" s="1"/>
      <c r="I166" s="1"/>
      <c r="J166" s="19"/>
    </row>
    <row r="167" spans="1:10" x14ac:dyDescent="0.25">
      <c r="A167" s="1">
        <f t="shared" si="4"/>
        <v>94</v>
      </c>
      <c r="B167" s="31" t="s">
        <v>280</v>
      </c>
      <c r="C167" s="58" t="s">
        <v>281</v>
      </c>
      <c r="D167" s="53" t="s">
        <v>335</v>
      </c>
      <c r="E167" s="73"/>
      <c r="F167" s="74"/>
      <c r="G167" s="16"/>
      <c r="H167" s="1"/>
      <c r="I167" s="1"/>
      <c r="J167" s="19"/>
    </row>
    <row r="168" spans="1:10" x14ac:dyDescent="0.25">
      <c r="A168" s="1">
        <f t="shared" si="4"/>
        <v>95</v>
      </c>
      <c r="B168" s="31" t="s">
        <v>282</v>
      </c>
      <c r="C168" s="58" t="s">
        <v>283</v>
      </c>
      <c r="D168" s="53" t="s">
        <v>335</v>
      </c>
      <c r="E168" s="73"/>
      <c r="F168" s="74"/>
      <c r="G168" s="16"/>
      <c r="H168" s="1"/>
      <c r="I168" s="1"/>
      <c r="J168" s="19"/>
    </row>
    <row r="169" spans="1:10" x14ac:dyDescent="0.25">
      <c r="A169" s="1">
        <f t="shared" si="4"/>
        <v>96</v>
      </c>
      <c r="B169" s="31" t="s">
        <v>284</v>
      </c>
      <c r="C169" s="58" t="s">
        <v>285</v>
      </c>
      <c r="D169" s="53" t="s">
        <v>335</v>
      </c>
      <c r="E169" s="73"/>
      <c r="F169" s="74"/>
      <c r="G169" s="16"/>
      <c r="H169" s="1"/>
      <c r="I169" s="1"/>
      <c r="J169" s="19"/>
    </row>
    <row r="170" spans="1:10" x14ac:dyDescent="0.25">
      <c r="A170" s="1">
        <f t="shared" si="4"/>
        <v>97</v>
      </c>
      <c r="B170" s="31" t="s">
        <v>286</v>
      </c>
      <c r="C170" s="58" t="s">
        <v>287</v>
      </c>
      <c r="D170" s="53" t="s">
        <v>335</v>
      </c>
      <c r="E170" s="73"/>
      <c r="F170" s="74"/>
      <c r="G170" s="16"/>
      <c r="H170" s="1"/>
      <c r="I170" s="1"/>
      <c r="J170" s="19"/>
    </row>
    <row r="171" spans="1:10" x14ac:dyDescent="0.25">
      <c r="A171" s="1">
        <f t="shared" si="4"/>
        <v>98</v>
      </c>
      <c r="B171" s="31" t="s">
        <v>288</v>
      </c>
      <c r="C171" s="58" t="s">
        <v>289</v>
      </c>
      <c r="D171" s="53" t="s">
        <v>335</v>
      </c>
      <c r="E171" s="73"/>
      <c r="F171" s="74"/>
      <c r="G171" s="16"/>
      <c r="H171" s="1"/>
      <c r="I171" s="1"/>
      <c r="J171" s="19"/>
    </row>
    <row r="172" spans="1:10" x14ac:dyDescent="0.25">
      <c r="A172" s="1">
        <f t="shared" si="4"/>
        <v>99</v>
      </c>
      <c r="B172" s="31" t="s">
        <v>290</v>
      </c>
      <c r="C172" s="58" t="s">
        <v>291</v>
      </c>
      <c r="D172" s="53" t="s">
        <v>335</v>
      </c>
      <c r="E172" s="73"/>
      <c r="F172" s="74"/>
      <c r="G172" s="16"/>
      <c r="H172" s="1"/>
      <c r="I172" s="1"/>
      <c r="J172" s="19"/>
    </row>
    <row r="173" spans="1:10" x14ac:dyDescent="0.25">
      <c r="A173" s="1">
        <f t="shared" si="4"/>
        <v>100</v>
      </c>
      <c r="B173" s="31" t="s">
        <v>292</v>
      </c>
      <c r="C173" s="58" t="s">
        <v>293</v>
      </c>
      <c r="D173" s="53" t="s">
        <v>335</v>
      </c>
      <c r="E173" s="73"/>
      <c r="F173" s="74"/>
      <c r="G173" s="16"/>
      <c r="H173" s="1"/>
      <c r="I173" s="1"/>
      <c r="J173" s="19"/>
    </row>
    <row r="174" spans="1:10" x14ac:dyDescent="0.25">
      <c r="A174" s="1">
        <f t="shared" si="4"/>
        <v>101</v>
      </c>
      <c r="B174" s="31" t="s">
        <v>294</v>
      </c>
      <c r="C174" s="58" t="s">
        <v>295</v>
      </c>
      <c r="D174" s="53" t="s">
        <v>335</v>
      </c>
      <c r="E174" s="73"/>
      <c r="F174" s="74"/>
      <c r="G174" s="16"/>
      <c r="H174" s="1"/>
      <c r="I174" s="1"/>
      <c r="J174" s="19"/>
    </row>
    <row r="175" spans="1:10" x14ac:dyDescent="0.25">
      <c r="A175" s="1">
        <f t="shared" si="4"/>
        <v>102</v>
      </c>
      <c r="B175" s="31" t="s">
        <v>296</v>
      </c>
      <c r="C175" s="58" t="s">
        <v>297</v>
      </c>
      <c r="D175" s="53" t="s">
        <v>335</v>
      </c>
      <c r="E175" s="73"/>
      <c r="F175" s="74"/>
      <c r="G175" s="16"/>
      <c r="H175" s="1"/>
      <c r="I175" s="1"/>
      <c r="J175" s="19"/>
    </row>
    <row r="176" spans="1:10" x14ac:dyDescent="0.25">
      <c r="A176" s="1">
        <f t="shared" si="4"/>
        <v>103</v>
      </c>
      <c r="B176" s="31" t="s">
        <v>298</v>
      </c>
      <c r="C176" s="58" t="s">
        <v>299</v>
      </c>
      <c r="D176" s="53" t="s">
        <v>335</v>
      </c>
      <c r="E176" s="73"/>
      <c r="F176" s="74"/>
      <c r="G176" s="16"/>
      <c r="H176" s="1"/>
      <c r="I176" s="1"/>
      <c r="J176" s="19"/>
    </row>
    <row r="177" spans="1:10" x14ac:dyDescent="0.25">
      <c r="A177" s="1">
        <f t="shared" si="4"/>
        <v>104</v>
      </c>
      <c r="B177" s="31" t="s">
        <v>300</v>
      </c>
      <c r="C177" s="58" t="s">
        <v>301</v>
      </c>
      <c r="D177" s="53" t="s">
        <v>335</v>
      </c>
      <c r="E177" s="73"/>
      <c r="F177" s="74"/>
      <c r="G177" s="16"/>
      <c r="H177" s="1"/>
      <c r="I177" s="1"/>
      <c r="J177" s="19"/>
    </row>
    <row r="178" spans="1:10" x14ac:dyDescent="0.25">
      <c r="A178" s="1">
        <f t="shared" si="4"/>
        <v>105</v>
      </c>
      <c r="B178" s="31" t="s">
        <v>302</v>
      </c>
      <c r="C178" s="58" t="s">
        <v>303</v>
      </c>
      <c r="D178" s="53" t="s">
        <v>335</v>
      </c>
      <c r="E178" s="73"/>
      <c r="F178" s="74"/>
      <c r="G178" s="16"/>
      <c r="H178" s="1"/>
      <c r="I178" s="1"/>
      <c r="J178" s="19"/>
    </row>
    <row r="179" spans="1:10" x14ac:dyDescent="0.25">
      <c r="A179" s="1">
        <f t="shared" si="4"/>
        <v>106</v>
      </c>
      <c r="B179" s="31" t="s">
        <v>304</v>
      </c>
      <c r="C179" s="58" t="s">
        <v>305</v>
      </c>
      <c r="D179" s="53" t="s">
        <v>335</v>
      </c>
      <c r="E179" s="73"/>
      <c r="F179" s="74"/>
      <c r="G179" s="16"/>
      <c r="H179" s="1"/>
      <c r="I179" s="1"/>
      <c r="J179" s="19"/>
    </row>
    <row r="180" spans="1:10" x14ac:dyDescent="0.25">
      <c r="A180" s="1">
        <f t="shared" si="4"/>
        <v>107</v>
      </c>
      <c r="B180" s="31" t="s">
        <v>306</v>
      </c>
      <c r="C180" s="58" t="s">
        <v>307</v>
      </c>
      <c r="D180" s="53" t="s">
        <v>335</v>
      </c>
      <c r="E180" s="73"/>
      <c r="F180" s="74"/>
      <c r="G180" s="16"/>
      <c r="H180" s="1"/>
      <c r="I180" s="1"/>
      <c r="J180" s="19"/>
    </row>
    <row r="181" spans="1:10" x14ac:dyDescent="0.25">
      <c r="A181" s="1">
        <f t="shared" si="4"/>
        <v>108</v>
      </c>
      <c r="B181" s="31" t="s">
        <v>308</v>
      </c>
      <c r="C181" s="58" t="s">
        <v>309</v>
      </c>
      <c r="D181" s="53" t="s">
        <v>335</v>
      </c>
      <c r="E181" s="73"/>
      <c r="F181" s="74"/>
      <c r="G181" s="16"/>
      <c r="H181" s="1"/>
      <c r="I181" s="1"/>
      <c r="J181" s="19"/>
    </row>
    <row r="182" spans="1:10" x14ac:dyDescent="0.25">
      <c r="A182" s="1">
        <f t="shared" si="4"/>
        <v>109</v>
      </c>
      <c r="B182" s="31" t="s">
        <v>310</v>
      </c>
      <c r="C182" s="58" t="s">
        <v>311</v>
      </c>
      <c r="D182" s="53" t="s">
        <v>334</v>
      </c>
      <c r="E182" s="73"/>
      <c r="F182" s="74"/>
      <c r="G182" s="16"/>
      <c r="H182" s="1"/>
      <c r="I182" s="1"/>
      <c r="J182" s="19"/>
    </row>
    <row r="183" spans="1:10" x14ac:dyDescent="0.25">
      <c r="A183" s="1">
        <f t="shared" si="4"/>
        <v>110</v>
      </c>
      <c r="B183" s="31" t="s">
        <v>312</v>
      </c>
      <c r="C183" s="58" t="s">
        <v>313</v>
      </c>
      <c r="D183" s="53" t="s">
        <v>335</v>
      </c>
      <c r="E183" s="73"/>
      <c r="F183" s="74"/>
      <c r="G183" s="16"/>
      <c r="H183" s="1"/>
      <c r="I183" s="1"/>
      <c r="J183" s="19"/>
    </row>
    <row r="184" spans="1:10" x14ac:dyDescent="0.25">
      <c r="A184" s="1">
        <f t="shared" si="4"/>
        <v>111</v>
      </c>
      <c r="B184" s="31" t="s">
        <v>314</v>
      </c>
      <c r="C184" s="58" t="s">
        <v>315</v>
      </c>
      <c r="D184" s="53" t="s">
        <v>335</v>
      </c>
      <c r="E184" s="73"/>
      <c r="F184" s="74"/>
      <c r="G184" s="16"/>
      <c r="H184" s="1"/>
      <c r="I184" s="1"/>
      <c r="J184" s="19"/>
    </row>
    <row r="185" spans="1:10" x14ac:dyDescent="0.25">
      <c r="A185" s="1">
        <f t="shared" si="4"/>
        <v>112</v>
      </c>
      <c r="B185" s="31" t="s">
        <v>316</v>
      </c>
      <c r="C185" s="58" t="s">
        <v>317</v>
      </c>
      <c r="D185" s="53" t="s">
        <v>335</v>
      </c>
      <c r="E185" s="73"/>
      <c r="F185" s="74"/>
      <c r="G185" s="16"/>
      <c r="H185" s="1"/>
      <c r="I185" s="1"/>
      <c r="J185" s="19"/>
    </row>
    <row r="186" spans="1:10" x14ac:dyDescent="0.25">
      <c r="A186" s="1">
        <f t="shared" si="4"/>
        <v>113</v>
      </c>
      <c r="B186" s="31" t="s">
        <v>318</v>
      </c>
      <c r="C186" s="58" t="s">
        <v>319</v>
      </c>
      <c r="D186" s="53" t="s">
        <v>335</v>
      </c>
      <c r="E186" s="73"/>
      <c r="F186" s="74"/>
      <c r="G186" s="16"/>
      <c r="H186" s="1"/>
      <c r="I186" s="1"/>
      <c r="J186" s="19"/>
    </row>
    <row r="187" spans="1:10" x14ac:dyDescent="0.25">
      <c r="A187" s="1">
        <f t="shared" si="4"/>
        <v>114</v>
      </c>
      <c r="B187" s="31" t="s">
        <v>320</v>
      </c>
      <c r="C187" s="58" t="s">
        <v>321</v>
      </c>
      <c r="D187" s="53" t="s">
        <v>335</v>
      </c>
      <c r="E187" s="73"/>
      <c r="F187" s="74"/>
      <c r="G187" s="16"/>
      <c r="H187" s="1"/>
      <c r="I187" s="1"/>
      <c r="J187" s="19"/>
    </row>
    <row r="188" spans="1:10" x14ac:dyDescent="0.25">
      <c r="A188" s="1">
        <f t="shared" si="4"/>
        <v>115</v>
      </c>
      <c r="B188" s="31" t="s">
        <v>322</v>
      </c>
      <c r="C188" s="58" t="s">
        <v>323</v>
      </c>
      <c r="D188" s="53" t="s">
        <v>335</v>
      </c>
      <c r="E188" s="73"/>
      <c r="F188" s="74"/>
      <c r="G188" s="16"/>
      <c r="H188" s="1"/>
      <c r="I188" s="1"/>
      <c r="J188" s="19"/>
    </row>
    <row r="189" spans="1:10" x14ac:dyDescent="0.25">
      <c r="A189" s="1">
        <f t="shared" si="4"/>
        <v>116</v>
      </c>
      <c r="B189" s="31" t="s">
        <v>324</v>
      </c>
      <c r="C189" s="58" t="s">
        <v>325</v>
      </c>
      <c r="D189" s="53" t="s">
        <v>335</v>
      </c>
      <c r="E189" s="73"/>
      <c r="F189" s="74"/>
      <c r="G189" s="16"/>
      <c r="H189" s="1"/>
      <c r="I189" s="1"/>
      <c r="J189" s="19"/>
    </row>
    <row r="190" spans="1:10" x14ac:dyDescent="0.25">
      <c r="A190" s="1">
        <f t="shared" si="4"/>
        <v>117</v>
      </c>
      <c r="B190" s="31" t="s">
        <v>326</v>
      </c>
      <c r="C190" s="58" t="s">
        <v>327</v>
      </c>
      <c r="D190" s="53" t="s">
        <v>335</v>
      </c>
      <c r="E190" s="73"/>
      <c r="F190" s="74"/>
      <c r="G190" s="16"/>
      <c r="H190" s="1"/>
      <c r="I190" s="1"/>
      <c r="J190" s="19"/>
    </row>
    <row r="191" spans="1:10" x14ac:dyDescent="0.25">
      <c r="A191" s="1">
        <f t="shared" si="4"/>
        <v>118</v>
      </c>
      <c r="B191" s="31" t="s">
        <v>328</v>
      </c>
      <c r="C191" s="58" t="s">
        <v>329</v>
      </c>
      <c r="D191" s="53" t="s">
        <v>335</v>
      </c>
      <c r="E191" s="73"/>
      <c r="F191" s="74"/>
      <c r="G191" s="16"/>
      <c r="H191" s="1"/>
      <c r="I191" s="1"/>
      <c r="J191" s="19"/>
    </row>
    <row r="192" spans="1:10" x14ac:dyDescent="0.25">
      <c r="A192" s="1">
        <f t="shared" si="4"/>
        <v>119</v>
      </c>
      <c r="B192" s="31" t="s">
        <v>330</v>
      </c>
      <c r="C192" s="58" t="s">
        <v>331</v>
      </c>
      <c r="D192" s="53" t="s">
        <v>335</v>
      </c>
      <c r="E192" s="73"/>
      <c r="F192" s="74"/>
      <c r="G192" s="16"/>
      <c r="H192" s="1"/>
      <c r="I192" s="1"/>
      <c r="J192" s="19"/>
    </row>
    <row r="193" spans="1:30" x14ac:dyDescent="0.25">
      <c r="A193" s="1">
        <f t="shared" si="4"/>
        <v>120</v>
      </c>
      <c r="B193" s="31" t="s">
        <v>332</v>
      </c>
      <c r="C193" s="58" t="s">
        <v>333</v>
      </c>
      <c r="D193" s="53" t="s">
        <v>335</v>
      </c>
      <c r="E193" s="73"/>
      <c r="F193" s="74"/>
      <c r="G193" s="16"/>
      <c r="H193" s="1"/>
      <c r="I193" s="1"/>
      <c r="J193" s="19"/>
    </row>
    <row r="194" spans="1:30" x14ac:dyDescent="0.25">
      <c r="A194" s="1">
        <f t="shared" si="4"/>
        <v>121</v>
      </c>
      <c r="B194" s="31"/>
      <c r="C194" s="58"/>
      <c r="D194" s="53"/>
      <c r="E194" s="73"/>
      <c r="F194" s="74"/>
      <c r="G194" s="16"/>
      <c r="H194" s="1"/>
      <c r="I194" s="1"/>
      <c r="J194" s="19"/>
    </row>
    <row r="195" spans="1:30" x14ac:dyDescent="0.25">
      <c r="A195" s="1">
        <f t="shared" si="4"/>
        <v>122</v>
      </c>
      <c r="B195" s="31"/>
      <c r="C195" s="58"/>
      <c r="D195" s="53"/>
      <c r="E195" s="73"/>
      <c r="F195" s="74"/>
      <c r="G195" s="16"/>
      <c r="H195" s="1"/>
      <c r="I195" s="1"/>
      <c r="J195" s="19"/>
    </row>
    <row r="196" spans="1:30" x14ac:dyDescent="0.25">
      <c r="A196" s="1">
        <f t="shared" si="4"/>
        <v>123</v>
      </c>
      <c r="B196" s="31"/>
      <c r="C196" s="58"/>
      <c r="D196" s="53"/>
      <c r="E196" s="73"/>
      <c r="F196" s="74"/>
      <c r="G196" s="16"/>
      <c r="H196" s="1"/>
      <c r="I196" s="1"/>
      <c r="J196" s="19"/>
    </row>
    <row r="197" spans="1:30" x14ac:dyDescent="0.25">
      <c r="A197" s="1">
        <f t="shared" si="4"/>
        <v>124</v>
      </c>
      <c r="B197" s="31"/>
      <c r="C197" s="58"/>
      <c r="D197" s="53"/>
      <c r="E197" s="73"/>
      <c r="F197" s="74"/>
      <c r="G197" s="16"/>
      <c r="H197" s="1"/>
      <c r="I197" s="1"/>
      <c r="J197" s="19"/>
    </row>
    <row r="198" spans="1:30" x14ac:dyDescent="0.25">
      <c r="A198" s="1">
        <f t="shared" si="4"/>
        <v>125</v>
      </c>
      <c r="B198" s="31"/>
      <c r="C198" s="58"/>
      <c r="D198" s="52"/>
      <c r="E198" s="79"/>
      <c r="F198" s="74"/>
      <c r="G198" s="16"/>
      <c r="H198" s="1"/>
      <c r="I198" s="1"/>
      <c r="J198" s="19"/>
    </row>
    <row r="199" spans="1:30" x14ac:dyDescent="0.25">
      <c r="A199" s="1">
        <f t="shared" si="4"/>
        <v>126</v>
      </c>
      <c r="B199" s="31"/>
      <c r="C199" s="58"/>
      <c r="D199" s="52"/>
      <c r="E199" s="79"/>
      <c r="F199" s="74"/>
      <c r="G199" s="16"/>
      <c r="H199" s="1"/>
      <c r="I199" s="1"/>
      <c r="J199" s="19"/>
    </row>
    <row r="200" spans="1:30" x14ac:dyDescent="0.25">
      <c r="A200" s="1">
        <f t="shared" si="4"/>
        <v>127</v>
      </c>
      <c r="B200" s="31"/>
      <c r="C200" s="58"/>
      <c r="D200" s="52"/>
      <c r="E200" s="79"/>
      <c r="F200" s="74"/>
      <c r="G200" s="16"/>
      <c r="H200" s="1"/>
      <c r="I200" s="1"/>
      <c r="J200" s="19"/>
    </row>
    <row r="201" spans="1:30" x14ac:dyDescent="0.25">
      <c r="A201" s="1">
        <f t="shared" si="4"/>
        <v>128</v>
      </c>
      <c r="B201" s="31"/>
      <c r="C201" s="58"/>
      <c r="D201" s="15"/>
      <c r="E201" s="80"/>
      <c r="F201" s="81"/>
      <c r="G201" s="16"/>
      <c r="H201" s="1"/>
      <c r="I201" s="1"/>
      <c r="J201" s="19"/>
    </row>
    <row r="202" spans="1:30" x14ac:dyDescent="0.25">
      <c r="A202" s="1">
        <f t="shared" si="4"/>
        <v>129</v>
      </c>
      <c r="B202" s="31"/>
      <c r="C202" s="58"/>
      <c r="D202" s="15"/>
      <c r="E202" s="80"/>
      <c r="F202" s="81"/>
      <c r="G202" s="16"/>
      <c r="H202" s="1"/>
      <c r="I202" s="1"/>
      <c r="J202" s="19"/>
    </row>
    <row r="203" spans="1:30" x14ac:dyDescent="0.25">
      <c r="A203" s="1">
        <f t="shared" si="4"/>
        <v>130</v>
      </c>
      <c r="B203" s="31"/>
      <c r="C203" s="58"/>
      <c r="D203" s="15"/>
      <c r="E203" s="80"/>
      <c r="F203" s="81"/>
      <c r="G203" s="16"/>
      <c r="H203" s="1"/>
      <c r="I203" s="1"/>
      <c r="J203" s="19"/>
    </row>
    <row r="204" spans="1:30" x14ac:dyDescent="0.25">
      <c r="A204" s="1">
        <f>A70+1</f>
        <v>69</v>
      </c>
      <c r="B204" s="59"/>
      <c r="C204" s="60"/>
      <c r="D204" s="15"/>
      <c r="E204" s="80"/>
      <c r="F204" s="81"/>
      <c r="G204" s="16"/>
      <c r="H204" s="1"/>
      <c r="I204" s="1"/>
      <c r="J204" s="19"/>
    </row>
    <row r="205" spans="1:30" ht="15.75" thickBot="1" x14ac:dyDescent="0.3">
      <c r="A205" s="1">
        <f>A203+1</f>
        <v>131</v>
      </c>
      <c r="B205" s="31"/>
      <c r="C205" s="58"/>
      <c r="D205" s="15"/>
      <c r="E205" s="80"/>
      <c r="F205" s="82"/>
      <c r="G205" s="20"/>
      <c r="H205" s="21"/>
      <c r="I205" s="21"/>
      <c r="J205" s="22"/>
    </row>
    <row r="206" spans="1:30" x14ac:dyDescent="0.25">
      <c r="B206" s="8"/>
      <c r="D206" s="12"/>
      <c r="F206" s="7"/>
      <c r="T206" s="69"/>
      <c r="AD206" s="69"/>
    </row>
    <row r="207" spans="1:30" x14ac:dyDescent="0.25">
      <c r="D207" s="12"/>
      <c r="F207" s="7"/>
      <c r="T207" s="69"/>
    </row>
    <row r="208" spans="1:30" x14ac:dyDescent="0.25">
      <c r="D208" s="12"/>
      <c r="F208" s="7"/>
    </row>
  </sheetData>
  <sortState ref="B74:F205">
    <sortCondition ref="B74:B205"/>
  </sortState>
  <mergeCells count="1">
    <mergeCell ref="B1:D1"/>
  </mergeCells>
  <pageMargins left="0.25" right="0.25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J205"/>
  <sheetViews>
    <sheetView workbookViewId="0">
      <selection activeCell="L15" sqref="L15"/>
    </sheetView>
  </sheetViews>
  <sheetFormatPr baseColWidth="10" defaultRowHeight="15" x14ac:dyDescent="0.25"/>
  <cols>
    <col min="1" max="1" width="4.140625" customWidth="1"/>
    <col min="2" max="2" width="38.5703125" customWidth="1"/>
    <col min="7" max="7" width="6.5703125" customWidth="1"/>
  </cols>
  <sheetData>
    <row r="1" spans="1:10" ht="15.75" thickBot="1" x14ac:dyDescent="0.3">
      <c r="A1" s="378" t="s">
        <v>8</v>
      </c>
      <c r="B1" s="378"/>
      <c r="C1" s="378"/>
      <c r="D1" s="25"/>
      <c r="E1" s="26"/>
      <c r="F1" s="26" t="s">
        <v>91</v>
      </c>
      <c r="G1" s="26"/>
      <c r="H1" s="26"/>
      <c r="I1" s="27"/>
    </row>
    <row r="2" spans="1:10" ht="15.75" thickBot="1" x14ac:dyDescent="0.3">
      <c r="A2" s="6" t="s">
        <v>3</v>
      </c>
      <c r="B2" s="49" t="s">
        <v>0</v>
      </c>
      <c r="C2" s="48" t="s">
        <v>1</v>
      </c>
      <c r="D2" s="10" t="s">
        <v>2</v>
      </c>
      <c r="E2" s="71" t="s">
        <v>336</v>
      </c>
      <c r="F2" s="72" t="s">
        <v>337</v>
      </c>
      <c r="G2" s="50" t="s">
        <v>10</v>
      </c>
      <c r="H2" s="51" t="s">
        <v>11</v>
      </c>
      <c r="I2" s="17" t="s">
        <v>12</v>
      </c>
      <c r="J2" s="18" t="s">
        <v>13</v>
      </c>
    </row>
    <row r="3" spans="1:10" x14ac:dyDescent="0.25">
      <c r="A3" s="1">
        <v>1</v>
      </c>
      <c r="B3" s="1" t="s">
        <v>14</v>
      </c>
      <c r="C3" s="4" t="s">
        <v>100</v>
      </c>
      <c r="D3" s="53" t="s">
        <v>5</v>
      </c>
      <c r="E3" s="73"/>
      <c r="F3" s="74"/>
      <c r="G3" s="16"/>
      <c r="H3" s="68"/>
      <c r="I3" s="1"/>
      <c r="J3" s="19"/>
    </row>
    <row r="4" spans="1:10" x14ac:dyDescent="0.25">
      <c r="A4" s="1">
        <f>A3+1</f>
        <v>2</v>
      </c>
      <c r="B4" s="1" t="s">
        <v>15</v>
      </c>
      <c r="C4" s="4"/>
      <c r="D4" s="53" t="s">
        <v>5</v>
      </c>
      <c r="E4" s="73"/>
      <c r="F4" s="74"/>
      <c r="G4" s="16"/>
      <c r="H4" s="1"/>
      <c r="I4" s="1"/>
      <c r="J4" s="19"/>
    </row>
    <row r="5" spans="1:10" x14ac:dyDescent="0.25">
      <c r="A5" s="1">
        <f t="shared" ref="A5:A68" si="0">A4+1</f>
        <v>3</v>
      </c>
      <c r="B5" s="3" t="s">
        <v>16</v>
      </c>
      <c r="C5" s="5" t="s">
        <v>101</v>
      </c>
      <c r="D5" s="54" t="s">
        <v>5</v>
      </c>
      <c r="E5" s="73"/>
      <c r="F5" s="74"/>
      <c r="G5" s="16"/>
      <c r="H5" s="1"/>
      <c r="I5" s="1"/>
      <c r="J5" s="19"/>
    </row>
    <row r="6" spans="1:10" x14ac:dyDescent="0.25">
      <c r="A6" s="1">
        <f t="shared" si="0"/>
        <v>4</v>
      </c>
      <c r="B6" s="1" t="s">
        <v>17</v>
      </c>
      <c r="C6" s="4"/>
      <c r="D6" s="53" t="s">
        <v>5</v>
      </c>
      <c r="E6" s="73"/>
      <c r="F6" s="74"/>
      <c r="G6" s="16"/>
      <c r="H6" s="1"/>
      <c r="I6" s="1"/>
      <c r="J6" s="19"/>
    </row>
    <row r="7" spans="1:10" x14ac:dyDescent="0.25">
      <c r="A7" s="1">
        <f t="shared" si="0"/>
        <v>5</v>
      </c>
      <c r="B7" s="1" t="s">
        <v>18</v>
      </c>
      <c r="C7" s="4"/>
      <c r="D7" s="53" t="s">
        <v>5</v>
      </c>
      <c r="E7" s="73"/>
      <c r="F7" s="74"/>
      <c r="G7" s="16"/>
      <c r="H7" s="1"/>
      <c r="I7" s="1"/>
      <c r="J7" s="19"/>
    </row>
    <row r="8" spans="1:10" x14ac:dyDescent="0.25">
      <c r="A8" s="1">
        <f t="shared" si="0"/>
        <v>6</v>
      </c>
      <c r="B8" s="1" t="s">
        <v>19</v>
      </c>
      <c r="C8" s="4"/>
      <c r="D8" s="53" t="s">
        <v>5</v>
      </c>
      <c r="E8" s="73"/>
      <c r="F8" s="74"/>
      <c r="G8" s="16"/>
      <c r="H8" s="1"/>
      <c r="I8" s="1"/>
      <c r="J8" s="19"/>
    </row>
    <row r="9" spans="1:10" x14ac:dyDescent="0.25">
      <c r="A9" s="1">
        <f t="shared" si="0"/>
        <v>7</v>
      </c>
      <c r="B9" s="1" t="s">
        <v>20</v>
      </c>
      <c r="C9" s="4"/>
      <c r="D9" s="53" t="s">
        <v>5</v>
      </c>
      <c r="E9" s="73"/>
      <c r="F9" s="74"/>
      <c r="G9" s="16"/>
      <c r="H9" s="1"/>
      <c r="I9" s="1"/>
      <c r="J9" s="19"/>
    </row>
    <row r="10" spans="1:10" x14ac:dyDescent="0.25">
      <c r="A10" s="1">
        <f t="shared" si="0"/>
        <v>8</v>
      </c>
      <c r="B10" s="1" t="s">
        <v>21</v>
      </c>
      <c r="C10" s="4"/>
      <c r="D10" s="53" t="s">
        <v>5</v>
      </c>
      <c r="E10" s="73"/>
      <c r="F10" s="74"/>
      <c r="G10" s="16"/>
      <c r="H10" s="1"/>
      <c r="I10" s="1"/>
      <c r="J10" s="19"/>
    </row>
    <row r="11" spans="1:10" x14ac:dyDescent="0.25">
      <c r="A11" s="1">
        <f t="shared" si="0"/>
        <v>9</v>
      </c>
      <c r="B11" s="1" t="s">
        <v>22</v>
      </c>
      <c r="C11" s="4"/>
      <c r="D11" s="53" t="s">
        <v>5</v>
      </c>
      <c r="E11" s="73"/>
      <c r="F11" s="74"/>
      <c r="G11" s="16"/>
      <c r="H11" s="1"/>
      <c r="I11" s="1"/>
      <c r="J11" s="19"/>
    </row>
    <row r="12" spans="1:10" x14ac:dyDescent="0.25">
      <c r="A12" s="1">
        <f t="shared" si="0"/>
        <v>10</v>
      </c>
      <c r="B12" s="1" t="s">
        <v>23</v>
      </c>
      <c r="C12" s="4"/>
      <c r="D12" s="53" t="s">
        <v>5</v>
      </c>
      <c r="E12" s="73"/>
      <c r="F12" s="74"/>
      <c r="G12" s="16"/>
      <c r="H12" s="1"/>
      <c r="I12" s="1"/>
      <c r="J12" s="19"/>
    </row>
    <row r="13" spans="1:10" x14ac:dyDescent="0.25">
      <c r="A13" s="1">
        <f t="shared" si="0"/>
        <v>11</v>
      </c>
      <c r="B13" s="1" t="s">
        <v>24</v>
      </c>
      <c r="C13" s="4"/>
      <c r="D13" s="53" t="s">
        <v>5</v>
      </c>
      <c r="E13" s="73"/>
      <c r="F13" s="74"/>
      <c r="G13" s="16"/>
      <c r="H13" s="1"/>
      <c r="I13" s="1"/>
      <c r="J13" s="19"/>
    </row>
    <row r="14" spans="1:10" x14ac:dyDescent="0.25">
      <c r="A14" s="1">
        <f t="shared" si="0"/>
        <v>12</v>
      </c>
      <c r="B14" s="1" t="s">
        <v>25</v>
      </c>
      <c r="C14" s="4"/>
      <c r="D14" s="53" t="s">
        <v>5</v>
      </c>
      <c r="E14" s="73"/>
      <c r="F14" s="74"/>
      <c r="G14" s="16"/>
      <c r="H14" s="1"/>
      <c r="I14" s="1"/>
      <c r="J14" s="19"/>
    </row>
    <row r="15" spans="1:10" x14ac:dyDescent="0.25">
      <c r="A15" s="1">
        <f t="shared" si="0"/>
        <v>13</v>
      </c>
      <c r="B15" s="1" t="s">
        <v>26</v>
      </c>
      <c r="C15" s="4"/>
      <c r="D15" s="53" t="s">
        <v>5</v>
      </c>
      <c r="E15" s="73"/>
      <c r="F15" s="74"/>
      <c r="G15" s="16"/>
      <c r="H15" s="1"/>
      <c r="I15" s="1"/>
      <c r="J15" s="19"/>
    </row>
    <row r="16" spans="1:10" x14ac:dyDescent="0.25">
      <c r="A16" s="1">
        <f t="shared" si="0"/>
        <v>14</v>
      </c>
      <c r="B16" s="1" t="s">
        <v>27</v>
      </c>
      <c r="C16" s="4"/>
      <c r="D16" s="53" t="s">
        <v>5</v>
      </c>
      <c r="E16" s="73"/>
      <c r="F16" s="74"/>
      <c r="G16" s="16"/>
      <c r="H16" s="1"/>
      <c r="I16" s="1"/>
      <c r="J16" s="19"/>
    </row>
    <row r="17" spans="1:10" x14ac:dyDescent="0.25">
      <c r="A17" s="1">
        <f t="shared" si="0"/>
        <v>15</v>
      </c>
      <c r="B17" s="31" t="s">
        <v>28</v>
      </c>
      <c r="C17" s="4"/>
      <c r="D17" s="53" t="s">
        <v>5</v>
      </c>
      <c r="E17" s="73"/>
      <c r="F17" s="74"/>
      <c r="G17" s="16"/>
      <c r="H17" s="1"/>
      <c r="I17" s="1"/>
      <c r="J17" s="19"/>
    </row>
    <row r="18" spans="1:10" x14ac:dyDescent="0.25">
      <c r="A18" s="1">
        <f t="shared" si="0"/>
        <v>16</v>
      </c>
      <c r="B18" s="1" t="s">
        <v>29</v>
      </c>
      <c r="C18" s="4"/>
      <c r="D18" s="53" t="s">
        <v>7</v>
      </c>
      <c r="E18" s="73"/>
      <c r="F18" s="74"/>
      <c r="G18" s="16"/>
      <c r="H18" s="1"/>
      <c r="I18" s="1"/>
      <c r="J18" s="19"/>
    </row>
    <row r="19" spans="1:10" x14ac:dyDescent="0.25">
      <c r="A19" s="1">
        <f t="shared" si="0"/>
        <v>17</v>
      </c>
      <c r="B19" s="1" t="s">
        <v>30</v>
      </c>
      <c r="C19" s="4"/>
      <c r="D19" s="53" t="s">
        <v>5</v>
      </c>
      <c r="E19" s="73"/>
      <c r="F19" s="74"/>
      <c r="G19" s="16"/>
      <c r="H19" s="1"/>
      <c r="I19" s="1"/>
      <c r="J19" s="19"/>
    </row>
    <row r="20" spans="1:10" x14ac:dyDescent="0.25">
      <c r="A20" s="1">
        <f t="shared" si="0"/>
        <v>18</v>
      </c>
      <c r="B20" s="1" t="s">
        <v>31</v>
      </c>
      <c r="C20" s="4"/>
      <c r="D20" s="53" t="s">
        <v>5</v>
      </c>
      <c r="E20" s="73"/>
      <c r="F20" s="74"/>
      <c r="G20" s="16"/>
      <c r="H20" s="1"/>
      <c r="I20" s="1"/>
      <c r="J20" s="19"/>
    </row>
    <row r="21" spans="1:10" x14ac:dyDescent="0.25">
      <c r="A21" s="1">
        <f t="shared" si="0"/>
        <v>19</v>
      </c>
      <c r="B21" s="1" t="s">
        <v>32</v>
      </c>
      <c r="C21" s="4"/>
      <c r="D21" s="53" t="s">
        <v>5</v>
      </c>
      <c r="E21" s="73"/>
      <c r="F21" s="74"/>
      <c r="G21" s="16"/>
      <c r="H21" s="1"/>
      <c r="I21" s="1"/>
      <c r="J21" s="19"/>
    </row>
    <row r="22" spans="1:10" x14ac:dyDescent="0.25">
      <c r="A22" s="1">
        <f t="shared" si="0"/>
        <v>20</v>
      </c>
      <c r="B22" s="1" t="s">
        <v>33</v>
      </c>
      <c r="C22" s="4"/>
      <c r="D22" s="53" t="s">
        <v>5</v>
      </c>
      <c r="E22" s="73"/>
      <c r="F22" s="74"/>
      <c r="G22" s="16"/>
      <c r="H22" s="1"/>
      <c r="I22" s="1"/>
      <c r="J22" s="19"/>
    </row>
    <row r="23" spans="1:10" x14ac:dyDescent="0.25">
      <c r="A23" s="1">
        <f t="shared" si="0"/>
        <v>21</v>
      </c>
      <c r="B23" s="1" t="s">
        <v>34</v>
      </c>
      <c r="C23" s="4"/>
      <c r="D23" s="53" t="s">
        <v>5</v>
      </c>
      <c r="E23" s="73"/>
      <c r="F23" s="74"/>
      <c r="G23" s="16"/>
      <c r="H23" s="1"/>
      <c r="I23" s="1"/>
      <c r="J23" s="19"/>
    </row>
    <row r="24" spans="1:10" x14ac:dyDescent="0.25">
      <c r="A24" s="1">
        <f t="shared" si="0"/>
        <v>22</v>
      </c>
      <c r="B24" s="1" t="s">
        <v>35</v>
      </c>
      <c r="C24" s="4"/>
      <c r="D24" s="53" t="s">
        <v>5</v>
      </c>
      <c r="E24" s="73"/>
      <c r="F24" s="74"/>
      <c r="G24" s="16"/>
      <c r="H24" s="1"/>
      <c r="I24" s="1"/>
      <c r="J24" s="19"/>
    </row>
    <row r="25" spans="1:10" x14ac:dyDescent="0.25">
      <c r="A25" s="1">
        <f t="shared" si="0"/>
        <v>23</v>
      </c>
      <c r="B25" s="1" t="s">
        <v>36</v>
      </c>
      <c r="C25" s="4"/>
      <c r="D25" s="53" t="s">
        <v>5</v>
      </c>
      <c r="E25" s="73"/>
      <c r="F25" s="74"/>
      <c r="G25" s="16"/>
      <c r="H25" s="1"/>
      <c r="I25" s="1"/>
      <c r="J25" s="19"/>
    </row>
    <row r="26" spans="1:10" x14ac:dyDescent="0.25">
      <c r="A26" s="1">
        <f t="shared" si="0"/>
        <v>24</v>
      </c>
      <c r="B26" s="1" t="s">
        <v>37</v>
      </c>
      <c r="C26" s="4"/>
      <c r="D26" s="53" t="s">
        <v>5</v>
      </c>
      <c r="E26" s="73"/>
      <c r="F26" s="74"/>
      <c r="G26" s="16"/>
      <c r="H26" s="1"/>
      <c r="I26" s="1"/>
      <c r="J26" s="19"/>
    </row>
    <row r="27" spans="1:10" x14ac:dyDescent="0.25">
      <c r="A27" s="1">
        <f t="shared" si="0"/>
        <v>25</v>
      </c>
      <c r="B27" s="1" t="s">
        <v>38</v>
      </c>
      <c r="C27" s="4"/>
      <c r="D27" s="53" t="s">
        <v>5</v>
      </c>
      <c r="E27" s="73"/>
      <c r="F27" s="74"/>
      <c r="G27" s="16"/>
      <c r="H27" s="1"/>
      <c r="I27" s="1"/>
      <c r="J27" s="19"/>
    </row>
    <row r="28" spans="1:10" x14ac:dyDescent="0.25">
      <c r="A28" s="1">
        <f t="shared" si="0"/>
        <v>26</v>
      </c>
      <c r="B28" s="1" t="s">
        <v>39</v>
      </c>
      <c r="C28" s="4"/>
      <c r="D28" s="53" t="s">
        <v>5</v>
      </c>
      <c r="E28" s="73"/>
      <c r="F28" s="74"/>
      <c r="G28" s="16"/>
      <c r="H28" s="1"/>
      <c r="I28" s="1"/>
      <c r="J28" s="19"/>
    </row>
    <row r="29" spans="1:10" x14ac:dyDescent="0.25">
      <c r="A29" s="1">
        <f t="shared" si="0"/>
        <v>27</v>
      </c>
      <c r="B29" s="1" t="s">
        <v>40</v>
      </c>
      <c r="C29" s="4"/>
      <c r="D29" s="53" t="s">
        <v>5</v>
      </c>
      <c r="E29" s="73"/>
      <c r="F29" s="74"/>
      <c r="G29" s="16"/>
      <c r="H29" s="1"/>
      <c r="I29" s="1"/>
      <c r="J29" s="19"/>
    </row>
    <row r="30" spans="1:10" x14ac:dyDescent="0.25">
      <c r="A30" s="1">
        <f t="shared" si="0"/>
        <v>28</v>
      </c>
      <c r="B30" s="1" t="s">
        <v>41</v>
      </c>
      <c r="C30" s="4"/>
      <c r="D30" s="53" t="s">
        <v>5</v>
      </c>
      <c r="E30" s="73"/>
      <c r="F30" s="74"/>
      <c r="G30" s="16"/>
      <c r="H30" s="1"/>
      <c r="I30" s="1"/>
      <c r="J30" s="19"/>
    </row>
    <row r="31" spans="1:10" x14ac:dyDescent="0.25">
      <c r="A31" s="1">
        <f t="shared" si="0"/>
        <v>29</v>
      </c>
      <c r="B31" s="1" t="s">
        <v>42</v>
      </c>
      <c r="C31" s="4"/>
      <c r="D31" s="53" t="s">
        <v>5</v>
      </c>
      <c r="E31" s="73"/>
      <c r="F31" s="74"/>
      <c r="G31" s="16"/>
      <c r="H31" s="1"/>
      <c r="I31" s="1"/>
      <c r="J31" s="19"/>
    </row>
    <row r="32" spans="1:10" x14ac:dyDescent="0.25">
      <c r="A32" s="1">
        <f t="shared" si="0"/>
        <v>30</v>
      </c>
      <c r="B32" s="1" t="s">
        <v>43</v>
      </c>
      <c r="C32" s="4"/>
      <c r="D32" s="53" t="s">
        <v>5</v>
      </c>
      <c r="E32" s="73"/>
      <c r="F32" s="74"/>
      <c r="G32" s="16"/>
      <c r="H32" s="1"/>
      <c r="I32" s="1"/>
      <c r="J32" s="19"/>
    </row>
    <row r="33" spans="1:10" x14ac:dyDescent="0.25">
      <c r="A33" s="1">
        <f t="shared" si="0"/>
        <v>31</v>
      </c>
      <c r="B33" s="1" t="s">
        <v>44</v>
      </c>
      <c r="C33" s="4"/>
      <c r="D33" s="53" t="s">
        <v>5</v>
      </c>
      <c r="E33" s="73"/>
      <c r="F33" s="74"/>
      <c r="G33" s="16"/>
      <c r="H33" s="1"/>
      <c r="I33" s="1"/>
      <c r="J33" s="19"/>
    </row>
    <row r="34" spans="1:10" x14ac:dyDescent="0.25">
      <c r="A34" s="1">
        <f t="shared" si="0"/>
        <v>32</v>
      </c>
      <c r="B34" s="1" t="s">
        <v>45</v>
      </c>
      <c r="C34" s="4"/>
      <c r="D34" s="53" t="s">
        <v>5</v>
      </c>
      <c r="E34" s="73"/>
      <c r="F34" s="74"/>
      <c r="G34" s="16"/>
      <c r="H34" s="1"/>
      <c r="I34" s="1"/>
      <c r="J34" s="19"/>
    </row>
    <row r="35" spans="1:10" x14ac:dyDescent="0.25">
      <c r="A35" s="1">
        <f t="shared" si="0"/>
        <v>33</v>
      </c>
      <c r="B35" s="1" t="s">
        <v>46</v>
      </c>
      <c r="C35" s="4"/>
      <c r="D35" s="53" t="s">
        <v>5</v>
      </c>
      <c r="E35" s="73"/>
      <c r="F35" s="74"/>
      <c r="G35" s="16"/>
      <c r="H35" s="1"/>
      <c r="I35" s="1"/>
      <c r="J35" s="19"/>
    </row>
    <row r="36" spans="1:10" x14ac:dyDescent="0.25">
      <c r="A36" s="1">
        <f t="shared" si="0"/>
        <v>34</v>
      </c>
      <c r="B36" s="1" t="s">
        <v>47</v>
      </c>
      <c r="C36" s="4"/>
      <c r="D36" s="53" t="s">
        <v>5</v>
      </c>
      <c r="E36" s="73"/>
      <c r="F36" s="74"/>
      <c r="G36" s="16"/>
      <c r="H36" s="1"/>
      <c r="I36" s="1"/>
      <c r="J36" s="19"/>
    </row>
    <row r="37" spans="1:10" x14ac:dyDescent="0.25">
      <c r="A37" s="1">
        <f t="shared" si="0"/>
        <v>35</v>
      </c>
      <c r="B37" s="1" t="s">
        <v>48</v>
      </c>
      <c r="C37" s="4"/>
      <c r="D37" s="53" t="s">
        <v>5</v>
      </c>
      <c r="E37" s="73"/>
      <c r="F37" s="74"/>
      <c r="G37" s="16"/>
      <c r="H37" s="1"/>
      <c r="I37" s="1"/>
      <c r="J37" s="19"/>
    </row>
    <row r="38" spans="1:10" x14ac:dyDescent="0.25">
      <c r="A38" s="1">
        <f t="shared" si="0"/>
        <v>36</v>
      </c>
      <c r="B38" s="1" t="s">
        <v>49</v>
      </c>
      <c r="C38" s="4"/>
      <c r="D38" s="53" t="s">
        <v>5</v>
      </c>
      <c r="E38" s="73"/>
      <c r="F38" s="74"/>
      <c r="G38" s="16"/>
      <c r="H38" s="1"/>
      <c r="I38" s="1"/>
      <c r="J38" s="19"/>
    </row>
    <row r="39" spans="1:10" x14ac:dyDescent="0.25">
      <c r="A39" s="1">
        <f t="shared" si="0"/>
        <v>37</v>
      </c>
      <c r="B39" s="1" t="s">
        <v>50</v>
      </c>
      <c r="C39" s="4"/>
      <c r="D39" s="53" t="s">
        <v>5</v>
      </c>
      <c r="E39" s="73"/>
      <c r="F39" s="74"/>
      <c r="G39" s="16"/>
      <c r="H39" s="1"/>
      <c r="I39" s="1"/>
      <c r="J39" s="19"/>
    </row>
    <row r="40" spans="1:10" x14ac:dyDescent="0.25">
      <c r="A40" s="1">
        <f t="shared" si="0"/>
        <v>38</v>
      </c>
      <c r="B40" s="3" t="s">
        <v>51</v>
      </c>
      <c r="C40" s="5"/>
      <c r="D40" s="54" t="s">
        <v>5</v>
      </c>
      <c r="E40" s="73"/>
      <c r="F40" s="74"/>
      <c r="G40" s="16"/>
      <c r="H40" s="1"/>
      <c r="I40" s="1"/>
      <c r="J40" s="19"/>
    </row>
    <row r="41" spans="1:10" x14ac:dyDescent="0.25">
      <c r="A41" s="1">
        <f t="shared" si="0"/>
        <v>39</v>
      </c>
      <c r="B41" s="1" t="s">
        <v>52</v>
      </c>
      <c r="C41" s="4"/>
      <c r="D41" s="53" t="s">
        <v>5</v>
      </c>
      <c r="E41" s="73"/>
      <c r="F41" s="74"/>
      <c r="G41" s="16"/>
      <c r="H41" s="1"/>
      <c r="I41" s="1"/>
      <c r="J41" s="19"/>
    </row>
    <row r="42" spans="1:10" x14ac:dyDescent="0.25">
      <c r="A42" s="1">
        <f t="shared" si="0"/>
        <v>40</v>
      </c>
      <c r="B42" s="1" t="s">
        <v>53</v>
      </c>
      <c r="C42" s="4"/>
      <c r="D42" s="53" t="s">
        <v>5</v>
      </c>
      <c r="E42" s="73"/>
      <c r="F42" s="74"/>
      <c r="G42" s="16"/>
      <c r="H42" s="1"/>
      <c r="I42" s="1"/>
      <c r="J42" s="19"/>
    </row>
    <row r="43" spans="1:10" x14ac:dyDescent="0.25">
      <c r="A43" s="1">
        <f t="shared" si="0"/>
        <v>41</v>
      </c>
      <c r="B43" s="1" t="s">
        <v>54</v>
      </c>
      <c r="C43" s="4"/>
      <c r="D43" s="53" t="s">
        <v>5</v>
      </c>
      <c r="E43" s="73"/>
      <c r="F43" s="74"/>
      <c r="G43" s="16"/>
      <c r="H43" s="1"/>
      <c r="I43" s="1"/>
      <c r="J43" s="19"/>
    </row>
    <row r="44" spans="1:10" x14ac:dyDescent="0.25">
      <c r="A44" s="1">
        <f t="shared" si="0"/>
        <v>42</v>
      </c>
      <c r="B44" s="1" t="s">
        <v>55</v>
      </c>
      <c r="C44" s="4"/>
      <c r="D44" s="53" t="s">
        <v>5</v>
      </c>
      <c r="E44" s="73"/>
      <c r="F44" s="74"/>
      <c r="G44" s="16"/>
      <c r="H44" s="1"/>
      <c r="I44" s="1"/>
      <c r="J44" s="19"/>
    </row>
    <row r="45" spans="1:10" x14ac:dyDescent="0.25">
      <c r="A45" s="1">
        <f t="shared" si="0"/>
        <v>43</v>
      </c>
      <c r="B45" s="1" t="s">
        <v>56</v>
      </c>
      <c r="C45" s="4"/>
      <c r="D45" s="53" t="s">
        <v>5</v>
      </c>
      <c r="E45" s="73"/>
      <c r="F45" s="74"/>
      <c r="G45" s="16"/>
      <c r="H45" s="1"/>
      <c r="I45" s="1"/>
      <c r="J45" s="19"/>
    </row>
    <row r="46" spans="1:10" x14ac:dyDescent="0.25">
      <c r="A46" s="1">
        <f t="shared" si="0"/>
        <v>44</v>
      </c>
      <c r="B46" s="1" t="s">
        <v>57</v>
      </c>
      <c r="C46" s="4"/>
      <c r="D46" s="53" t="s">
        <v>5</v>
      </c>
      <c r="E46" s="73"/>
      <c r="F46" s="74"/>
      <c r="G46" s="16"/>
      <c r="H46" s="1"/>
      <c r="I46" s="1"/>
      <c r="J46" s="19"/>
    </row>
    <row r="47" spans="1:10" x14ac:dyDescent="0.25">
      <c r="A47" s="1">
        <f t="shared" si="0"/>
        <v>45</v>
      </c>
      <c r="B47" s="1" t="s">
        <v>58</v>
      </c>
      <c r="C47" s="4"/>
      <c r="D47" s="53" t="s">
        <v>5</v>
      </c>
      <c r="E47" s="73"/>
      <c r="F47" s="74"/>
      <c r="G47" s="16"/>
      <c r="H47" s="1"/>
      <c r="I47" s="1"/>
      <c r="J47" s="19"/>
    </row>
    <row r="48" spans="1:10" x14ac:dyDescent="0.25">
      <c r="A48" s="1">
        <f t="shared" si="0"/>
        <v>46</v>
      </c>
      <c r="B48" s="1" t="s">
        <v>59</v>
      </c>
      <c r="C48" s="4"/>
      <c r="D48" s="53" t="s">
        <v>5</v>
      </c>
      <c r="E48" s="73"/>
      <c r="F48" s="74"/>
      <c r="G48" s="16"/>
      <c r="H48" s="1"/>
      <c r="I48" s="1"/>
      <c r="J48" s="19"/>
    </row>
    <row r="49" spans="1:10" x14ac:dyDescent="0.25">
      <c r="A49" s="1">
        <f t="shared" si="0"/>
        <v>47</v>
      </c>
      <c r="B49" s="1" t="s">
        <v>40</v>
      </c>
      <c r="C49" s="4"/>
      <c r="D49" s="53" t="s">
        <v>5</v>
      </c>
      <c r="E49" s="73"/>
      <c r="F49" s="74"/>
      <c r="G49" s="16"/>
      <c r="H49" s="1"/>
      <c r="I49" s="1"/>
      <c r="J49" s="19"/>
    </row>
    <row r="50" spans="1:10" x14ac:dyDescent="0.25">
      <c r="A50" s="1">
        <f t="shared" si="0"/>
        <v>48</v>
      </c>
      <c r="B50" s="1" t="s">
        <v>60</v>
      </c>
      <c r="C50" s="4"/>
      <c r="D50" s="53" t="s">
        <v>5</v>
      </c>
      <c r="E50" s="73"/>
      <c r="F50" s="74"/>
      <c r="G50" s="16"/>
      <c r="H50" s="1"/>
      <c r="I50" s="1"/>
      <c r="J50" s="19"/>
    </row>
    <row r="51" spans="1:10" x14ac:dyDescent="0.25">
      <c r="A51" s="1">
        <f t="shared" si="0"/>
        <v>49</v>
      </c>
      <c r="B51" s="1" t="s">
        <v>61</v>
      </c>
      <c r="C51" s="4"/>
      <c r="D51" s="53" t="s">
        <v>5</v>
      </c>
      <c r="E51" s="73"/>
      <c r="F51" s="74"/>
      <c r="G51" s="16"/>
      <c r="H51" s="1"/>
      <c r="I51" s="1"/>
      <c r="J51" s="19"/>
    </row>
    <row r="52" spans="1:10" x14ac:dyDescent="0.25">
      <c r="A52" s="1">
        <f t="shared" si="0"/>
        <v>50</v>
      </c>
      <c r="B52" s="3" t="s">
        <v>62</v>
      </c>
      <c r="C52" s="5"/>
      <c r="D52" s="54" t="s">
        <v>5</v>
      </c>
      <c r="E52" s="73"/>
      <c r="F52" s="74"/>
      <c r="G52" s="16"/>
      <c r="H52" s="1"/>
      <c r="I52" s="1"/>
      <c r="J52" s="19"/>
    </row>
    <row r="53" spans="1:10" x14ac:dyDescent="0.25">
      <c r="A53" s="1">
        <f t="shared" si="0"/>
        <v>51</v>
      </c>
      <c r="B53" s="1" t="s">
        <v>63</v>
      </c>
      <c r="C53" s="4"/>
      <c r="D53" s="53" t="s">
        <v>5</v>
      </c>
      <c r="E53" s="73"/>
      <c r="F53" s="74"/>
      <c r="G53" s="16"/>
      <c r="H53" s="1"/>
      <c r="I53" s="1"/>
      <c r="J53" s="19"/>
    </row>
    <row r="54" spans="1:10" x14ac:dyDescent="0.25">
      <c r="A54" s="1">
        <f t="shared" si="0"/>
        <v>52</v>
      </c>
      <c r="B54" s="1" t="s">
        <v>64</v>
      </c>
      <c r="C54" s="4"/>
      <c r="D54" s="53" t="s">
        <v>5</v>
      </c>
      <c r="E54" s="73"/>
      <c r="F54" s="74"/>
      <c r="G54" s="16"/>
      <c r="H54" s="1"/>
      <c r="I54" s="1"/>
      <c r="J54" s="19"/>
    </row>
    <row r="55" spans="1:10" x14ac:dyDescent="0.25">
      <c r="A55" s="1">
        <f t="shared" si="0"/>
        <v>53</v>
      </c>
      <c r="B55" s="1" t="s">
        <v>65</v>
      </c>
      <c r="C55" s="4"/>
      <c r="D55" s="53" t="s">
        <v>5</v>
      </c>
      <c r="E55" s="73"/>
      <c r="F55" s="74"/>
      <c r="G55" s="16"/>
      <c r="H55" s="1"/>
      <c r="I55" s="1"/>
      <c r="J55" s="19"/>
    </row>
    <row r="56" spans="1:10" x14ac:dyDescent="0.25">
      <c r="A56" s="1">
        <f t="shared" si="0"/>
        <v>54</v>
      </c>
      <c r="B56" s="1" t="s">
        <v>66</v>
      </c>
      <c r="C56" s="4"/>
      <c r="D56" s="53" t="s">
        <v>5</v>
      </c>
      <c r="E56" s="73"/>
      <c r="F56" s="74"/>
      <c r="G56" s="16"/>
      <c r="H56" s="1"/>
      <c r="I56" s="1"/>
      <c r="J56" s="19"/>
    </row>
    <row r="57" spans="1:10" x14ac:dyDescent="0.25">
      <c r="A57" s="1">
        <f t="shared" si="0"/>
        <v>55</v>
      </c>
      <c r="B57" s="1" t="s">
        <v>67</v>
      </c>
      <c r="C57" s="4"/>
      <c r="D57" s="53" t="s">
        <v>5</v>
      </c>
      <c r="E57" s="73"/>
      <c r="F57" s="74"/>
      <c r="G57" s="16"/>
      <c r="H57" s="1"/>
      <c r="I57" s="1"/>
      <c r="J57" s="19"/>
    </row>
    <row r="58" spans="1:10" x14ac:dyDescent="0.25">
      <c r="A58" s="1">
        <f t="shared" si="0"/>
        <v>56</v>
      </c>
      <c r="B58" s="1" t="s">
        <v>68</v>
      </c>
      <c r="C58" s="4"/>
      <c r="D58" s="53" t="s">
        <v>5</v>
      </c>
      <c r="E58" s="73"/>
      <c r="F58" s="74"/>
      <c r="G58" s="16"/>
      <c r="H58" s="1"/>
      <c r="I58" s="1"/>
      <c r="J58" s="19"/>
    </row>
    <row r="59" spans="1:10" x14ac:dyDescent="0.25">
      <c r="A59" s="1">
        <f t="shared" si="0"/>
        <v>57</v>
      </c>
      <c r="B59" s="1" t="s">
        <v>69</v>
      </c>
      <c r="C59" s="4"/>
      <c r="D59" s="53" t="s">
        <v>5</v>
      </c>
      <c r="E59" s="73"/>
      <c r="F59" s="74"/>
      <c r="G59" s="16"/>
      <c r="H59" s="1"/>
      <c r="I59" s="1"/>
      <c r="J59" s="19"/>
    </row>
    <row r="60" spans="1:10" x14ac:dyDescent="0.25">
      <c r="A60" s="1">
        <f t="shared" si="0"/>
        <v>58</v>
      </c>
      <c r="B60" s="1" t="s">
        <v>70</v>
      </c>
      <c r="C60" s="4" t="s">
        <v>90</v>
      </c>
      <c r="D60" s="53" t="s">
        <v>5</v>
      </c>
      <c r="E60" s="73"/>
      <c r="F60" s="74"/>
      <c r="G60" s="16"/>
      <c r="H60" s="1"/>
      <c r="I60" s="1"/>
      <c r="J60" s="19"/>
    </row>
    <row r="61" spans="1:10" x14ac:dyDescent="0.25">
      <c r="A61" s="1">
        <f t="shared" si="0"/>
        <v>59</v>
      </c>
      <c r="B61" s="1" t="s">
        <v>71</v>
      </c>
      <c r="C61" s="4" t="s">
        <v>89</v>
      </c>
      <c r="D61" s="53" t="s">
        <v>5</v>
      </c>
      <c r="E61" s="73"/>
      <c r="F61" s="74"/>
      <c r="G61" s="16"/>
      <c r="H61" s="1"/>
      <c r="I61" s="1"/>
      <c r="J61" s="19"/>
    </row>
    <row r="62" spans="1:10" x14ac:dyDescent="0.25">
      <c r="A62" s="1">
        <f t="shared" si="0"/>
        <v>60</v>
      </c>
      <c r="B62" s="1" t="s">
        <v>72</v>
      </c>
      <c r="C62" s="4" t="s">
        <v>88</v>
      </c>
      <c r="D62" s="53" t="s">
        <v>5</v>
      </c>
      <c r="E62" s="73"/>
      <c r="F62" s="74"/>
      <c r="G62" s="16"/>
      <c r="H62" s="1"/>
      <c r="I62" s="1"/>
      <c r="J62" s="19"/>
    </row>
    <row r="63" spans="1:10" x14ac:dyDescent="0.25">
      <c r="A63" s="1">
        <f t="shared" si="0"/>
        <v>61</v>
      </c>
      <c r="B63" s="1" t="s">
        <v>73</v>
      </c>
      <c r="C63" s="4" t="s">
        <v>87</v>
      </c>
      <c r="D63" s="53" t="s">
        <v>5</v>
      </c>
      <c r="E63" s="73"/>
      <c r="F63" s="74"/>
      <c r="G63" s="16"/>
      <c r="H63" s="1"/>
      <c r="I63" s="1"/>
      <c r="J63" s="19"/>
    </row>
    <row r="64" spans="1:10" x14ac:dyDescent="0.25">
      <c r="A64" s="1">
        <f t="shared" si="0"/>
        <v>62</v>
      </c>
      <c r="B64" s="1" t="s">
        <v>74</v>
      </c>
      <c r="C64" s="4" t="s">
        <v>86</v>
      </c>
      <c r="D64" s="53" t="s">
        <v>5</v>
      </c>
      <c r="E64" s="73"/>
      <c r="F64" s="74"/>
      <c r="G64" s="16"/>
      <c r="H64" s="1"/>
      <c r="I64" s="1"/>
      <c r="J64" s="19"/>
    </row>
    <row r="65" spans="1:10" x14ac:dyDescent="0.25">
      <c r="A65" s="1">
        <f t="shared" si="0"/>
        <v>63</v>
      </c>
      <c r="B65" s="1" t="s">
        <v>84</v>
      </c>
      <c r="C65" s="4" t="s">
        <v>85</v>
      </c>
      <c r="D65" s="53" t="s">
        <v>5</v>
      </c>
      <c r="E65" s="73"/>
      <c r="F65" s="74"/>
      <c r="G65" s="16"/>
      <c r="H65" s="1"/>
      <c r="I65" s="1"/>
      <c r="J65" s="19"/>
    </row>
    <row r="66" spans="1:10" x14ac:dyDescent="0.25">
      <c r="A66" s="1">
        <f t="shared" si="0"/>
        <v>64</v>
      </c>
      <c r="B66" s="1" t="s">
        <v>75</v>
      </c>
      <c r="C66" s="4" t="s">
        <v>83</v>
      </c>
      <c r="D66" s="53" t="s">
        <v>5</v>
      </c>
      <c r="E66" s="73"/>
      <c r="F66" s="74"/>
      <c r="G66" s="16"/>
      <c r="H66" s="1"/>
      <c r="I66" s="1"/>
      <c r="J66" s="19"/>
    </row>
    <row r="67" spans="1:10" x14ac:dyDescent="0.25">
      <c r="A67" s="1">
        <f t="shared" si="0"/>
        <v>65</v>
      </c>
      <c r="B67" s="1" t="s">
        <v>76</v>
      </c>
      <c r="C67" s="4" t="s">
        <v>82</v>
      </c>
      <c r="D67" s="53" t="s">
        <v>5</v>
      </c>
      <c r="E67" s="73"/>
      <c r="F67" s="74"/>
      <c r="G67" s="16"/>
      <c r="H67" s="1"/>
      <c r="I67" s="1"/>
      <c r="J67" s="19"/>
    </row>
    <row r="68" spans="1:10" x14ac:dyDescent="0.25">
      <c r="A68" s="1">
        <f t="shared" si="0"/>
        <v>66</v>
      </c>
      <c r="B68" s="1" t="s">
        <v>77</v>
      </c>
      <c r="C68" s="4" t="s">
        <v>6</v>
      </c>
      <c r="D68" s="53" t="s">
        <v>5</v>
      </c>
      <c r="E68" s="73"/>
      <c r="F68" s="74"/>
      <c r="G68" s="16"/>
      <c r="H68" s="1"/>
      <c r="I68" s="1"/>
      <c r="J68" s="19"/>
    </row>
    <row r="69" spans="1:10" x14ac:dyDescent="0.25">
      <c r="A69" s="1">
        <f>A68+1</f>
        <v>67</v>
      </c>
      <c r="B69" s="1" t="s">
        <v>78</v>
      </c>
      <c r="C69" s="4" t="s">
        <v>79</v>
      </c>
      <c r="D69" s="53" t="s">
        <v>5</v>
      </c>
      <c r="E69" s="73"/>
      <c r="F69" s="74"/>
      <c r="G69" s="16"/>
      <c r="H69" s="1"/>
      <c r="I69" s="1"/>
      <c r="J69" s="19"/>
    </row>
    <row r="70" spans="1:10" x14ac:dyDescent="0.25">
      <c r="A70" s="1">
        <f>A69+1</f>
        <v>68</v>
      </c>
      <c r="B70" s="1" t="s">
        <v>80</v>
      </c>
      <c r="C70" s="4" t="s">
        <v>81</v>
      </c>
      <c r="D70" s="53" t="s">
        <v>5</v>
      </c>
      <c r="E70" s="73"/>
      <c r="F70" s="74"/>
      <c r="G70" s="16"/>
      <c r="H70" s="1"/>
      <c r="I70" s="1"/>
      <c r="J70" s="19"/>
    </row>
    <row r="71" spans="1:10" x14ac:dyDescent="0.25">
      <c r="A71" s="1">
        <f>A204+1</f>
        <v>70</v>
      </c>
      <c r="B71" s="1"/>
      <c r="C71" s="4"/>
      <c r="D71" s="53" t="s">
        <v>5</v>
      </c>
      <c r="E71" s="73"/>
      <c r="F71" s="74"/>
      <c r="G71" s="16"/>
      <c r="H71" s="1"/>
      <c r="I71" s="1"/>
      <c r="J71" s="19"/>
    </row>
    <row r="72" spans="1:10" ht="15.75" thickBot="1" x14ac:dyDescent="0.3">
      <c r="A72" s="13">
        <f>A71+1</f>
        <v>71</v>
      </c>
      <c r="B72" s="8"/>
      <c r="C72" s="2"/>
      <c r="D72" s="55" t="s">
        <v>5</v>
      </c>
      <c r="E72" s="73"/>
      <c r="F72" s="75"/>
      <c r="G72" s="61"/>
      <c r="H72" s="13"/>
      <c r="I72" s="13"/>
      <c r="J72" s="24"/>
    </row>
    <row r="73" spans="1:10" ht="15.75" thickBot="1" x14ac:dyDescent="0.3">
      <c r="A73" s="64" t="s">
        <v>3</v>
      </c>
      <c r="B73" s="63" t="s">
        <v>0</v>
      </c>
      <c r="C73" s="65" t="s">
        <v>1</v>
      </c>
      <c r="D73" s="14" t="s">
        <v>2</v>
      </c>
      <c r="E73" s="76"/>
      <c r="F73" s="77"/>
      <c r="G73" s="11"/>
      <c r="H73" s="66"/>
      <c r="I73" s="66"/>
      <c r="J73" s="67"/>
    </row>
    <row r="74" spans="1:10" x14ac:dyDescent="0.25">
      <c r="A74" s="3">
        <v>1</v>
      </c>
      <c r="B74" s="56" t="s">
        <v>102</v>
      </c>
      <c r="C74" s="57" t="s">
        <v>103</v>
      </c>
      <c r="D74" s="54" t="s">
        <v>334</v>
      </c>
      <c r="E74" s="73"/>
      <c r="F74" s="78"/>
      <c r="G74" s="62"/>
      <c r="H74" s="3"/>
      <c r="I74" s="3"/>
      <c r="J74" s="23"/>
    </row>
    <row r="75" spans="1:10" x14ac:dyDescent="0.25">
      <c r="A75" s="1">
        <f t="shared" ref="A75:A138" si="1">A74+1</f>
        <v>2</v>
      </c>
      <c r="B75" s="31" t="s">
        <v>104</v>
      </c>
      <c r="C75" s="58"/>
      <c r="D75" s="53" t="s">
        <v>334</v>
      </c>
      <c r="E75" s="73"/>
      <c r="F75" s="74"/>
      <c r="G75" s="16"/>
      <c r="H75" s="1"/>
      <c r="I75" s="1"/>
      <c r="J75" s="19"/>
    </row>
    <row r="76" spans="1:10" x14ac:dyDescent="0.25">
      <c r="A76" s="1">
        <f t="shared" si="1"/>
        <v>3</v>
      </c>
      <c r="B76" s="31" t="s">
        <v>105</v>
      </c>
      <c r="C76" s="58" t="s">
        <v>106</v>
      </c>
      <c r="D76" s="53" t="s">
        <v>335</v>
      </c>
      <c r="E76" s="73"/>
      <c r="F76" s="74"/>
      <c r="G76" s="16"/>
      <c r="H76" s="1"/>
      <c r="I76" s="1"/>
      <c r="J76" s="19"/>
    </row>
    <row r="77" spans="1:10" x14ac:dyDescent="0.25">
      <c r="A77" s="1">
        <f t="shared" si="1"/>
        <v>4</v>
      </c>
      <c r="B77" s="31" t="s">
        <v>107</v>
      </c>
      <c r="C77" s="58"/>
      <c r="D77" s="53" t="s">
        <v>335</v>
      </c>
      <c r="E77" s="73"/>
      <c r="F77" s="74"/>
      <c r="G77" s="16"/>
      <c r="H77" s="1"/>
      <c r="I77" s="1"/>
      <c r="J77" s="19"/>
    </row>
    <row r="78" spans="1:10" x14ac:dyDescent="0.25">
      <c r="A78" s="1">
        <f t="shared" si="1"/>
        <v>5</v>
      </c>
      <c r="B78" s="31" t="s">
        <v>108</v>
      </c>
      <c r="C78" s="58" t="s">
        <v>111</v>
      </c>
      <c r="D78" s="53" t="s">
        <v>334</v>
      </c>
      <c r="E78" s="73"/>
      <c r="F78" s="74"/>
      <c r="G78" s="16"/>
      <c r="H78" s="1"/>
      <c r="I78" s="1"/>
      <c r="J78" s="19"/>
    </row>
    <row r="79" spans="1:10" x14ac:dyDescent="0.25">
      <c r="A79" s="1">
        <f t="shared" si="1"/>
        <v>6</v>
      </c>
      <c r="B79" s="31" t="s">
        <v>109</v>
      </c>
      <c r="C79" s="58" t="s">
        <v>110</v>
      </c>
      <c r="D79" s="53" t="s">
        <v>334</v>
      </c>
      <c r="E79" s="73"/>
      <c r="F79" s="74"/>
      <c r="G79" s="16"/>
      <c r="H79" s="1"/>
      <c r="I79" s="1"/>
      <c r="J79" s="19"/>
    </row>
    <row r="80" spans="1:10" x14ac:dyDescent="0.25">
      <c r="A80" s="1">
        <f t="shared" si="1"/>
        <v>7</v>
      </c>
      <c r="B80" s="31" t="s">
        <v>112</v>
      </c>
      <c r="C80" s="58" t="s">
        <v>113</v>
      </c>
      <c r="D80" s="53" t="s">
        <v>335</v>
      </c>
      <c r="E80" s="73"/>
      <c r="F80" s="74"/>
      <c r="G80" s="16"/>
      <c r="H80" s="1"/>
      <c r="I80" s="1"/>
      <c r="J80" s="19"/>
    </row>
    <row r="81" spans="1:10" x14ac:dyDescent="0.25">
      <c r="A81" s="1">
        <f t="shared" si="1"/>
        <v>8</v>
      </c>
      <c r="B81" s="31" t="s">
        <v>114</v>
      </c>
      <c r="C81" s="58" t="s">
        <v>115</v>
      </c>
      <c r="D81" s="53" t="s">
        <v>335</v>
      </c>
      <c r="E81" s="73"/>
      <c r="F81" s="74"/>
      <c r="G81" s="16"/>
      <c r="H81" s="1"/>
      <c r="I81" s="1"/>
      <c r="J81" s="19"/>
    </row>
    <row r="82" spans="1:10" x14ac:dyDescent="0.25">
      <c r="A82" s="1">
        <f t="shared" si="1"/>
        <v>9</v>
      </c>
      <c r="B82" s="31" t="s">
        <v>116</v>
      </c>
      <c r="C82" s="58" t="s">
        <v>106</v>
      </c>
      <c r="D82" s="53" t="s">
        <v>334</v>
      </c>
      <c r="E82" s="73"/>
      <c r="F82" s="74"/>
      <c r="G82" s="16"/>
      <c r="H82" s="1"/>
      <c r="I82" s="1"/>
      <c r="J82" s="19"/>
    </row>
    <row r="83" spans="1:10" x14ac:dyDescent="0.25">
      <c r="A83" s="1">
        <f t="shared" si="1"/>
        <v>10</v>
      </c>
      <c r="B83" s="31" t="s">
        <v>117</v>
      </c>
      <c r="C83" s="58" t="s">
        <v>118</v>
      </c>
      <c r="D83" s="53" t="s">
        <v>335</v>
      </c>
      <c r="E83" s="73"/>
      <c r="F83" s="74"/>
      <c r="G83" s="16"/>
      <c r="H83" s="1"/>
      <c r="I83" s="1"/>
      <c r="J83" s="19"/>
    </row>
    <row r="84" spans="1:10" x14ac:dyDescent="0.25">
      <c r="A84" s="1">
        <f t="shared" si="1"/>
        <v>11</v>
      </c>
      <c r="B84" s="31" t="s">
        <v>119</v>
      </c>
      <c r="C84" s="58" t="s">
        <v>120</v>
      </c>
      <c r="D84" s="53" t="s">
        <v>335</v>
      </c>
      <c r="E84" s="73"/>
      <c r="F84" s="74"/>
      <c r="G84" s="16"/>
      <c r="H84" s="1"/>
      <c r="I84" s="1"/>
      <c r="J84" s="19"/>
    </row>
    <row r="85" spans="1:10" x14ac:dyDescent="0.25">
      <c r="A85" s="1">
        <f t="shared" si="1"/>
        <v>12</v>
      </c>
      <c r="B85" s="31" t="s">
        <v>121</v>
      </c>
      <c r="C85" s="58" t="s">
        <v>122</v>
      </c>
      <c r="D85" s="53" t="s">
        <v>335</v>
      </c>
      <c r="E85" s="73"/>
      <c r="F85" s="74"/>
      <c r="G85" s="16"/>
      <c r="H85" s="1"/>
      <c r="I85" s="1"/>
      <c r="J85" s="19"/>
    </row>
    <row r="86" spans="1:10" x14ac:dyDescent="0.25">
      <c r="A86" s="1">
        <f t="shared" si="1"/>
        <v>13</v>
      </c>
      <c r="B86" s="31" t="s">
        <v>123</v>
      </c>
      <c r="C86" s="58" t="s">
        <v>124</v>
      </c>
      <c r="D86" s="53" t="s">
        <v>335</v>
      </c>
      <c r="E86" s="73"/>
      <c r="F86" s="74"/>
      <c r="G86" s="16"/>
      <c r="H86" s="1"/>
      <c r="I86" s="1"/>
      <c r="J86" s="19"/>
    </row>
    <row r="87" spans="1:10" x14ac:dyDescent="0.25">
      <c r="A87" s="1">
        <f t="shared" si="1"/>
        <v>14</v>
      </c>
      <c r="B87" s="31" t="s">
        <v>125</v>
      </c>
      <c r="C87" s="58" t="s">
        <v>126</v>
      </c>
      <c r="D87" s="53" t="s">
        <v>335</v>
      </c>
      <c r="E87" s="73"/>
      <c r="F87" s="74"/>
      <c r="G87" s="16"/>
      <c r="H87" s="1"/>
      <c r="I87" s="1"/>
      <c r="J87" s="19"/>
    </row>
    <row r="88" spans="1:10" x14ac:dyDescent="0.25">
      <c r="A88" s="1">
        <f t="shared" si="1"/>
        <v>15</v>
      </c>
      <c r="B88" s="31" t="s">
        <v>127</v>
      </c>
      <c r="C88" s="58" t="s">
        <v>128</v>
      </c>
      <c r="D88" s="53" t="s">
        <v>335</v>
      </c>
      <c r="E88" s="73"/>
      <c r="F88" s="74"/>
      <c r="G88" s="16"/>
      <c r="H88" s="1"/>
      <c r="I88" s="1"/>
      <c r="J88" s="19"/>
    </row>
    <row r="89" spans="1:10" x14ac:dyDescent="0.25">
      <c r="A89" s="1">
        <f t="shared" si="1"/>
        <v>16</v>
      </c>
      <c r="B89" s="31" t="s">
        <v>129</v>
      </c>
      <c r="C89" s="58" t="s">
        <v>130</v>
      </c>
      <c r="D89" s="53" t="s">
        <v>335</v>
      </c>
      <c r="E89" s="73"/>
      <c r="F89" s="74"/>
      <c r="G89" s="16"/>
      <c r="H89" s="1"/>
      <c r="I89" s="1"/>
      <c r="J89" s="19"/>
    </row>
    <row r="90" spans="1:10" x14ac:dyDescent="0.25">
      <c r="A90" s="1">
        <f t="shared" si="1"/>
        <v>17</v>
      </c>
      <c r="B90" s="31" t="s">
        <v>131</v>
      </c>
      <c r="C90" s="58" t="s">
        <v>132</v>
      </c>
      <c r="D90" s="53" t="s">
        <v>335</v>
      </c>
      <c r="E90" s="73"/>
      <c r="F90" s="74"/>
      <c r="G90" s="16"/>
      <c r="H90" s="1"/>
      <c r="I90" s="1"/>
      <c r="J90" s="19"/>
    </row>
    <row r="91" spans="1:10" x14ac:dyDescent="0.25">
      <c r="A91" s="1">
        <f t="shared" si="1"/>
        <v>18</v>
      </c>
      <c r="B91" s="31" t="s">
        <v>133</v>
      </c>
      <c r="C91" s="58" t="s">
        <v>134</v>
      </c>
      <c r="D91" s="53" t="s">
        <v>335</v>
      </c>
      <c r="E91" s="73"/>
      <c r="F91" s="74"/>
      <c r="G91" s="16"/>
      <c r="H91" s="1"/>
      <c r="I91" s="1"/>
      <c r="J91" s="19"/>
    </row>
    <row r="92" spans="1:10" x14ac:dyDescent="0.25">
      <c r="A92" s="1">
        <f t="shared" si="1"/>
        <v>19</v>
      </c>
      <c r="B92" s="31" t="s">
        <v>135</v>
      </c>
      <c r="C92" s="58" t="s">
        <v>136</v>
      </c>
      <c r="D92" s="53" t="s">
        <v>335</v>
      </c>
      <c r="E92" s="73"/>
      <c r="F92" s="74"/>
      <c r="G92" s="16"/>
      <c r="H92" s="1"/>
      <c r="I92" s="1"/>
      <c r="J92" s="19"/>
    </row>
    <row r="93" spans="1:10" x14ac:dyDescent="0.25">
      <c r="A93" s="1">
        <f t="shared" si="1"/>
        <v>20</v>
      </c>
      <c r="B93" s="31" t="s">
        <v>137</v>
      </c>
      <c r="C93" s="58" t="s">
        <v>138</v>
      </c>
      <c r="D93" s="53" t="s">
        <v>335</v>
      </c>
      <c r="E93" s="73"/>
      <c r="F93" s="74"/>
      <c r="G93" s="16"/>
      <c r="H93" s="1"/>
      <c r="I93" s="1"/>
      <c r="J93" s="19"/>
    </row>
    <row r="94" spans="1:10" x14ac:dyDescent="0.25">
      <c r="A94" s="1">
        <f t="shared" si="1"/>
        <v>21</v>
      </c>
      <c r="B94" s="31" t="s">
        <v>139</v>
      </c>
      <c r="C94" s="58" t="s">
        <v>140</v>
      </c>
      <c r="D94" s="53" t="s">
        <v>335</v>
      </c>
      <c r="E94" s="73"/>
      <c r="F94" s="74"/>
      <c r="G94" s="16"/>
      <c r="H94" s="1"/>
      <c r="I94" s="1"/>
      <c r="J94" s="19"/>
    </row>
    <row r="95" spans="1:10" x14ac:dyDescent="0.25">
      <c r="A95" s="1">
        <f t="shared" si="1"/>
        <v>22</v>
      </c>
      <c r="B95" s="31" t="s">
        <v>141</v>
      </c>
      <c r="C95" s="58" t="s">
        <v>142</v>
      </c>
      <c r="D95" s="53" t="s">
        <v>335</v>
      </c>
      <c r="E95" s="73"/>
      <c r="F95" s="74"/>
      <c r="G95" s="16"/>
      <c r="H95" s="1"/>
      <c r="I95" s="1"/>
      <c r="J95" s="19"/>
    </row>
    <row r="96" spans="1:10" x14ac:dyDescent="0.25">
      <c r="A96" s="1">
        <f t="shared" si="1"/>
        <v>23</v>
      </c>
      <c r="B96" s="31" t="s">
        <v>143</v>
      </c>
      <c r="C96" s="58" t="s">
        <v>144</v>
      </c>
      <c r="D96" s="53" t="s">
        <v>335</v>
      </c>
      <c r="E96" s="73"/>
      <c r="F96" s="74"/>
      <c r="G96" s="16"/>
      <c r="H96" s="1"/>
      <c r="I96" s="1"/>
      <c r="J96" s="19"/>
    </row>
    <row r="97" spans="1:10" x14ac:dyDescent="0.25">
      <c r="A97" s="1">
        <f t="shared" si="1"/>
        <v>24</v>
      </c>
      <c r="B97" s="31" t="s">
        <v>145</v>
      </c>
      <c r="C97" s="58" t="s">
        <v>146</v>
      </c>
      <c r="D97" s="53" t="s">
        <v>335</v>
      </c>
      <c r="E97" s="73"/>
      <c r="F97" s="74"/>
      <c r="G97" s="16"/>
      <c r="H97" s="1"/>
      <c r="I97" s="1"/>
      <c r="J97" s="19"/>
    </row>
    <row r="98" spans="1:10" x14ac:dyDescent="0.25">
      <c r="A98" s="1">
        <f t="shared" si="1"/>
        <v>25</v>
      </c>
      <c r="B98" s="31" t="s">
        <v>147</v>
      </c>
      <c r="C98" s="58" t="s">
        <v>148</v>
      </c>
      <c r="D98" s="53" t="s">
        <v>335</v>
      </c>
      <c r="E98" s="73"/>
      <c r="F98" s="74"/>
      <c r="G98" s="16"/>
      <c r="H98" s="1"/>
      <c r="I98" s="1"/>
      <c r="J98" s="19"/>
    </row>
    <row r="99" spans="1:10" x14ac:dyDescent="0.25">
      <c r="A99" s="1">
        <f t="shared" si="1"/>
        <v>26</v>
      </c>
      <c r="B99" s="31" t="s">
        <v>149</v>
      </c>
      <c r="C99" s="58" t="s">
        <v>150</v>
      </c>
      <c r="D99" s="53" t="s">
        <v>335</v>
      </c>
      <c r="E99" s="73"/>
      <c r="F99" s="74"/>
      <c r="G99" s="16"/>
      <c r="H99" s="1"/>
      <c r="I99" s="1"/>
      <c r="J99" s="19"/>
    </row>
    <row r="100" spans="1:10" x14ac:dyDescent="0.25">
      <c r="A100" s="1">
        <f t="shared" si="1"/>
        <v>27</v>
      </c>
      <c r="B100" s="31" t="s">
        <v>151</v>
      </c>
      <c r="C100" s="58" t="s">
        <v>152</v>
      </c>
      <c r="D100" s="53" t="s">
        <v>335</v>
      </c>
      <c r="E100" s="73"/>
      <c r="F100" s="74"/>
      <c r="G100" s="16"/>
      <c r="H100" s="1"/>
      <c r="I100" s="1"/>
      <c r="J100" s="19"/>
    </row>
    <row r="101" spans="1:10" x14ac:dyDescent="0.25">
      <c r="A101" s="1">
        <f t="shared" si="1"/>
        <v>28</v>
      </c>
      <c r="B101" s="31" t="s">
        <v>153</v>
      </c>
      <c r="C101" s="58" t="s">
        <v>154</v>
      </c>
      <c r="D101" s="53" t="s">
        <v>335</v>
      </c>
      <c r="E101" s="73"/>
      <c r="F101" s="74"/>
      <c r="G101" s="16"/>
      <c r="H101" s="1"/>
      <c r="I101" s="1"/>
      <c r="J101" s="19"/>
    </row>
    <row r="102" spans="1:10" x14ac:dyDescent="0.25">
      <c r="A102" s="1">
        <f t="shared" si="1"/>
        <v>29</v>
      </c>
      <c r="B102" s="31" t="s">
        <v>155</v>
      </c>
      <c r="C102" s="58" t="s">
        <v>156</v>
      </c>
      <c r="D102" s="53" t="s">
        <v>335</v>
      </c>
      <c r="E102" s="73"/>
      <c r="F102" s="74"/>
      <c r="G102" s="16"/>
      <c r="H102" s="1"/>
      <c r="I102" s="1"/>
      <c r="J102" s="19"/>
    </row>
    <row r="103" spans="1:10" x14ac:dyDescent="0.25">
      <c r="A103" s="1">
        <f t="shared" si="1"/>
        <v>30</v>
      </c>
      <c r="B103" s="31" t="s">
        <v>157</v>
      </c>
      <c r="C103" s="58" t="s">
        <v>158</v>
      </c>
      <c r="D103" s="53" t="s">
        <v>335</v>
      </c>
      <c r="E103" s="73"/>
      <c r="F103" s="74"/>
      <c r="G103" s="16"/>
      <c r="H103" s="1"/>
      <c r="I103" s="1"/>
      <c r="J103" s="19"/>
    </row>
    <row r="104" spans="1:10" x14ac:dyDescent="0.25">
      <c r="A104" s="1">
        <f t="shared" si="1"/>
        <v>31</v>
      </c>
      <c r="B104" s="31" t="s">
        <v>159</v>
      </c>
      <c r="C104" s="58" t="s">
        <v>160</v>
      </c>
      <c r="D104" s="53" t="s">
        <v>335</v>
      </c>
      <c r="E104" s="73"/>
      <c r="F104" s="74"/>
      <c r="G104" s="16"/>
      <c r="H104" s="1"/>
      <c r="I104" s="1"/>
      <c r="J104" s="19"/>
    </row>
    <row r="105" spans="1:10" x14ac:dyDescent="0.25">
      <c r="A105" s="1">
        <f t="shared" si="1"/>
        <v>32</v>
      </c>
      <c r="B105" s="56" t="s">
        <v>161</v>
      </c>
      <c r="C105" s="57" t="s">
        <v>162</v>
      </c>
      <c r="D105" s="53" t="s">
        <v>335</v>
      </c>
      <c r="E105" s="73"/>
      <c r="F105" s="74"/>
      <c r="G105" s="16"/>
      <c r="H105" s="1"/>
      <c r="I105" s="1"/>
      <c r="J105" s="19"/>
    </row>
    <row r="106" spans="1:10" x14ac:dyDescent="0.25">
      <c r="A106" s="1">
        <f t="shared" si="1"/>
        <v>33</v>
      </c>
      <c r="B106" s="31" t="s">
        <v>163</v>
      </c>
      <c r="C106" s="58" t="s">
        <v>164</v>
      </c>
      <c r="D106" s="53" t="s">
        <v>335</v>
      </c>
      <c r="E106" s="73"/>
      <c r="F106" s="74"/>
      <c r="G106" s="16"/>
      <c r="H106" s="1"/>
      <c r="I106" s="1"/>
      <c r="J106" s="19"/>
    </row>
    <row r="107" spans="1:10" x14ac:dyDescent="0.25">
      <c r="A107" s="1">
        <f t="shared" si="1"/>
        <v>34</v>
      </c>
      <c r="B107" s="31" t="s">
        <v>165</v>
      </c>
      <c r="C107" s="58" t="s">
        <v>166</v>
      </c>
      <c r="D107" s="53" t="s">
        <v>335</v>
      </c>
      <c r="E107" s="73"/>
      <c r="F107" s="74"/>
      <c r="G107" s="16"/>
      <c r="H107" s="1"/>
      <c r="I107" s="1"/>
      <c r="J107" s="19"/>
    </row>
    <row r="108" spans="1:10" x14ac:dyDescent="0.25">
      <c r="A108" s="1">
        <f t="shared" si="1"/>
        <v>35</v>
      </c>
      <c r="B108" s="31" t="s">
        <v>167</v>
      </c>
      <c r="C108" s="58" t="s">
        <v>168</v>
      </c>
      <c r="D108" s="53" t="s">
        <v>335</v>
      </c>
      <c r="E108" s="73"/>
      <c r="F108" s="74"/>
      <c r="G108" s="16"/>
      <c r="H108" s="1"/>
      <c r="I108" s="1"/>
      <c r="J108" s="19"/>
    </row>
    <row r="109" spans="1:10" x14ac:dyDescent="0.25">
      <c r="A109" s="1">
        <f t="shared" si="1"/>
        <v>36</v>
      </c>
      <c r="B109" s="31" t="s">
        <v>169</v>
      </c>
      <c r="C109" s="58" t="s">
        <v>170</v>
      </c>
      <c r="D109" s="53" t="s">
        <v>335</v>
      </c>
      <c r="E109" s="73"/>
      <c r="F109" s="74"/>
      <c r="G109" s="16"/>
      <c r="H109" s="1"/>
      <c r="I109" s="1"/>
      <c r="J109" s="19"/>
    </row>
    <row r="110" spans="1:10" x14ac:dyDescent="0.25">
      <c r="A110" s="1">
        <f t="shared" si="1"/>
        <v>37</v>
      </c>
      <c r="B110" s="31" t="s">
        <v>171</v>
      </c>
      <c r="C110" s="58" t="s">
        <v>172</v>
      </c>
      <c r="D110" s="53" t="s">
        <v>335</v>
      </c>
      <c r="E110" s="73"/>
      <c r="F110" s="74"/>
      <c r="G110" s="16"/>
      <c r="H110" s="1"/>
      <c r="I110" s="1"/>
      <c r="J110" s="19"/>
    </row>
    <row r="111" spans="1:10" x14ac:dyDescent="0.25">
      <c r="A111" s="1">
        <f t="shared" si="1"/>
        <v>38</v>
      </c>
      <c r="B111" s="31" t="s">
        <v>173</v>
      </c>
      <c r="C111" s="58" t="s">
        <v>174</v>
      </c>
      <c r="D111" s="53" t="s">
        <v>335</v>
      </c>
      <c r="E111" s="73"/>
      <c r="F111" s="74"/>
      <c r="G111" s="16"/>
      <c r="H111" s="1"/>
      <c r="I111" s="1"/>
      <c r="J111" s="19"/>
    </row>
    <row r="112" spans="1:10" x14ac:dyDescent="0.25">
      <c r="A112" s="1">
        <f t="shared" si="1"/>
        <v>39</v>
      </c>
      <c r="B112" s="31" t="s">
        <v>175</v>
      </c>
      <c r="C112" s="58" t="s">
        <v>176</v>
      </c>
      <c r="D112" s="53" t="s">
        <v>335</v>
      </c>
      <c r="E112" s="73"/>
      <c r="F112" s="74"/>
      <c r="G112" s="16"/>
      <c r="H112" s="1"/>
      <c r="I112" s="1"/>
      <c r="J112" s="19"/>
    </row>
    <row r="113" spans="1:10" x14ac:dyDescent="0.25">
      <c r="A113" s="1">
        <f t="shared" si="1"/>
        <v>40</v>
      </c>
      <c r="B113" s="31" t="s">
        <v>177</v>
      </c>
      <c r="C113" s="58" t="s">
        <v>178</v>
      </c>
      <c r="D113" s="53" t="s">
        <v>335</v>
      </c>
      <c r="E113" s="73"/>
      <c r="F113" s="74"/>
      <c r="G113" s="16"/>
      <c r="H113" s="1"/>
      <c r="I113" s="1"/>
      <c r="J113" s="19"/>
    </row>
    <row r="114" spans="1:10" x14ac:dyDescent="0.25">
      <c r="A114" s="1">
        <f t="shared" si="1"/>
        <v>41</v>
      </c>
      <c r="B114" s="31" t="s">
        <v>179</v>
      </c>
      <c r="C114" s="58" t="s">
        <v>180</v>
      </c>
      <c r="D114" s="53" t="s">
        <v>335</v>
      </c>
      <c r="E114" s="73"/>
      <c r="F114" s="74"/>
      <c r="G114" s="16"/>
      <c r="H114" s="1"/>
      <c r="I114" s="1"/>
      <c r="J114" s="19"/>
    </row>
    <row r="115" spans="1:10" x14ac:dyDescent="0.25">
      <c r="A115" s="1">
        <f t="shared" si="1"/>
        <v>42</v>
      </c>
      <c r="B115" s="31" t="s">
        <v>181</v>
      </c>
      <c r="C115" s="58" t="s">
        <v>182</v>
      </c>
      <c r="D115" s="53" t="s">
        <v>335</v>
      </c>
      <c r="E115" s="73"/>
      <c r="F115" s="74"/>
      <c r="G115" s="16"/>
      <c r="H115" s="1"/>
      <c r="I115" s="1"/>
      <c r="J115" s="19"/>
    </row>
    <row r="116" spans="1:10" x14ac:dyDescent="0.25">
      <c r="A116" s="1">
        <f t="shared" si="1"/>
        <v>43</v>
      </c>
      <c r="B116" s="31" t="s">
        <v>183</v>
      </c>
      <c r="C116" s="58" t="s">
        <v>184</v>
      </c>
      <c r="D116" s="53" t="s">
        <v>335</v>
      </c>
      <c r="E116" s="73"/>
      <c r="F116" s="74"/>
      <c r="G116" s="16"/>
      <c r="H116" s="1"/>
      <c r="I116" s="1"/>
      <c r="J116" s="19"/>
    </row>
    <row r="117" spans="1:10" x14ac:dyDescent="0.25">
      <c r="A117" s="1">
        <f t="shared" si="1"/>
        <v>44</v>
      </c>
      <c r="B117" s="31" t="s">
        <v>185</v>
      </c>
      <c r="C117" s="58" t="s">
        <v>186</v>
      </c>
      <c r="D117" s="53" t="s">
        <v>335</v>
      </c>
      <c r="E117" s="73"/>
      <c r="F117" s="74"/>
      <c r="G117" s="16"/>
      <c r="H117" s="1"/>
      <c r="I117" s="1"/>
      <c r="J117" s="19"/>
    </row>
    <row r="118" spans="1:10" x14ac:dyDescent="0.25">
      <c r="A118" s="1">
        <f t="shared" si="1"/>
        <v>45</v>
      </c>
      <c r="B118" s="31" t="s">
        <v>187</v>
      </c>
      <c r="C118" s="58" t="s">
        <v>188</v>
      </c>
      <c r="D118" s="53" t="s">
        <v>335</v>
      </c>
      <c r="E118" s="73"/>
      <c r="F118" s="74"/>
      <c r="G118" s="16"/>
      <c r="H118" s="1"/>
      <c r="I118" s="1"/>
      <c r="J118" s="19"/>
    </row>
    <row r="119" spans="1:10" x14ac:dyDescent="0.25">
      <c r="A119" s="1">
        <f t="shared" si="1"/>
        <v>46</v>
      </c>
      <c r="B119" s="31" t="s">
        <v>189</v>
      </c>
      <c r="C119" s="58" t="s">
        <v>190</v>
      </c>
      <c r="D119" s="53" t="s">
        <v>335</v>
      </c>
      <c r="E119" s="73"/>
      <c r="F119" s="74"/>
      <c r="G119" s="16"/>
      <c r="H119" s="1"/>
      <c r="I119" s="1"/>
      <c r="J119" s="19"/>
    </row>
    <row r="120" spans="1:10" x14ac:dyDescent="0.25">
      <c r="A120" s="1">
        <f t="shared" si="1"/>
        <v>47</v>
      </c>
      <c r="B120" s="31" t="s">
        <v>191</v>
      </c>
      <c r="C120" s="58" t="s">
        <v>192</v>
      </c>
      <c r="D120" s="53" t="s">
        <v>335</v>
      </c>
      <c r="E120" s="73"/>
      <c r="F120" s="74"/>
      <c r="G120" s="16"/>
      <c r="H120" s="1"/>
      <c r="I120" s="1"/>
      <c r="J120" s="19"/>
    </row>
    <row r="121" spans="1:10" x14ac:dyDescent="0.25">
      <c r="A121" s="1">
        <f t="shared" si="1"/>
        <v>48</v>
      </c>
      <c r="B121" s="31" t="s">
        <v>193</v>
      </c>
      <c r="C121" s="58" t="s">
        <v>194</v>
      </c>
      <c r="D121" s="53" t="s">
        <v>335</v>
      </c>
      <c r="E121" s="73"/>
      <c r="F121" s="74"/>
      <c r="G121" s="16"/>
      <c r="H121" s="1"/>
      <c r="I121" s="1"/>
      <c r="J121" s="19"/>
    </row>
    <row r="122" spans="1:10" x14ac:dyDescent="0.25">
      <c r="A122" s="1">
        <f t="shared" si="1"/>
        <v>49</v>
      </c>
      <c r="B122" s="31" t="s">
        <v>195</v>
      </c>
      <c r="C122" s="58" t="s">
        <v>196</v>
      </c>
      <c r="D122" s="53" t="s">
        <v>335</v>
      </c>
      <c r="E122" s="73"/>
      <c r="F122" s="74"/>
      <c r="G122" s="16"/>
      <c r="H122" s="1"/>
      <c r="I122" s="1"/>
      <c r="J122" s="19"/>
    </row>
    <row r="123" spans="1:10" x14ac:dyDescent="0.25">
      <c r="A123" s="1">
        <f t="shared" si="1"/>
        <v>50</v>
      </c>
      <c r="B123" s="31" t="s">
        <v>197</v>
      </c>
      <c r="C123" s="58" t="s">
        <v>198</v>
      </c>
      <c r="D123" s="53" t="s">
        <v>335</v>
      </c>
      <c r="E123" s="73"/>
      <c r="F123" s="74"/>
      <c r="G123" s="16"/>
      <c r="H123" s="1"/>
      <c r="I123" s="1"/>
      <c r="J123" s="19"/>
    </row>
    <row r="124" spans="1:10" x14ac:dyDescent="0.25">
      <c r="A124" s="1">
        <f t="shared" si="1"/>
        <v>51</v>
      </c>
      <c r="B124" s="31" t="s">
        <v>199</v>
      </c>
      <c r="C124" s="58" t="s">
        <v>200</v>
      </c>
      <c r="D124" s="53" t="s">
        <v>335</v>
      </c>
      <c r="E124" s="73"/>
      <c r="F124" s="74"/>
      <c r="G124" s="16"/>
      <c r="H124" s="1"/>
      <c r="I124" s="1"/>
      <c r="J124" s="19"/>
    </row>
    <row r="125" spans="1:10" x14ac:dyDescent="0.25">
      <c r="A125" s="1">
        <f t="shared" si="1"/>
        <v>52</v>
      </c>
      <c r="B125" s="31" t="s">
        <v>201</v>
      </c>
      <c r="C125" s="58" t="s">
        <v>202</v>
      </c>
      <c r="D125" s="53" t="s">
        <v>335</v>
      </c>
      <c r="E125" s="73"/>
      <c r="F125" s="74"/>
      <c r="G125" s="16"/>
      <c r="H125" s="1"/>
      <c r="I125" s="1"/>
      <c r="J125" s="19"/>
    </row>
    <row r="126" spans="1:10" x14ac:dyDescent="0.25">
      <c r="A126" s="1">
        <f t="shared" si="1"/>
        <v>53</v>
      </c>
      <c r="B126" s="31" t="s">
        <v>203</v>
      </c>
      <c r="C126" s="58" t="s">
        <v>204</v>
      </c>
      <c r="D126" s="53" t="s">
        <v>335</v>
      </c>
      <c r="E126" s="73"/>
      <c r="F126" s="74"/>
      <c r="G126" s="16"/>
      <c r="H126" s="1"/>
      <c r="I126" s="1"/>
      <c r="J126" s="19"/>
    </row>
    <row r="127" spans="1:10" x14ac:dyDescent="0.25">
      <c r="A127" s="1">
        <f t="shared" si="1"/>
        <v>54</v>
      </c>
      <c r="B127" s="31" t="s">
        <v>205</v>
      </c>
      <c r="C127" s="58" t="s">
        <v>206</v>
      </c>
      <c r="D127" s="53" t="s">
        <v>335</v>
      </c>
      <c r="E127" s="73"/>
      <c r="F127" s="74"/>
      <c r="G127" s="16"/>
      <c r="H127" s="1"/>
      <c r="I127" s="1"/>
      <c r="J127" s="19"/>
    </row>
    <row r="128" spans="1:10" x14ac:dyDescent="0.25">
      <c r="A128" s="1">
        <f t="shared" si="1"/>
        <v>55</v>
      </c>
      <c r="B128" s="31" t="s">
        <v>207</v>
      </c>
      <c r="C128" s="58" t="s">
        <v>208</v>
      </c>
      <c r="D128" s="53" t="s">
        <v>335</v>
      </c>
      <c r="E128" s="73"/>
      <c r="F128" s="74"/>
      <c r="G128" s="16"/>
      <c r="H128" s="1"/>
      <c r="I128" s="1"/>
      <c r="J128" s="19"/>
    </row>
    <row r="129" spans="1:10" x14ac:dyDescent="0.25">
      <c r="A129" s="1">
        <f t="shared" si="1"/>
        <v>56</v>
      </c>
      <c r="B129" s="31" t="s">
        <v>209</v>
      </c>
      <c r="C129" s="58" t="s">
        <v>210</v>
      </c>
      <c r="D129" s="53" t="s">
        <v>335</v>
      </c>
      <c r="E129" s="73"/>
      <c r="F129" s="74"/>
      <c r="G129" s="16"/>
      <c r="H129" s="1"/>
      <c r="I129" s="1"/>
      <c r="J129" s="19"/>
    </row>
    <row r="130" spans="1:10" x14ac:dyDescent="0.25">
      <c r="A130" s="1">
        <f t="shared" si="1"/>
        <v>57</v>
      </c>
      <c r="B130" s="31" t="s">
        <v>211</v>
      </c>
      <c r="C130" s="58" t="s">
        <v>212</v>
      </c>
      <c r="D130" s="53" t="s">
        <v>335</v>
      </c>
      <c r="E130" s="73"/>
      <c r="F130" s="74"/>
      <c r="G130" s="16"/>
      <c r="H130" s="1"/>
      <c r="I130" s="1"/>
      <c r="J130" s="19"/>
    </row>
    <row r="131" spans="1:10" x14ac:dyDescent="0.25">
      <c r="A131" s="1">
        <f t="shared" si="1"/>
        <v>58</v>
      </c>
      <c r="B131" s="31" t="s">
        <v>218</v>
      </c>
      <c r="C131" s="58" t="s">
        <v>217</v>
      </c>
      <c r="D131" s="53" t="s">
        <v>335</v>
      </c>
      <c r="E131" s="73"/>
      <c r="F131" s="74"/>
      <c r="G131" s="16"/>
      <c r="H131" s="1"/>
      <c r="I131" s="1"/>
      <c r="J131" s="19"/>
    </row>
    <row r="132" spans="1:10" x14ac:dyDescent="0.25">
      <c r="A132" s="1">
        <f t="shared" si="1"/>
        <v>59</v>
      </c>
      <c r="B132" s="31" t="s">
        <v>213</v>
      </c>
      <c r="C132" s="58" t="s">
        <v>214</v>
      </c>
      <c r="D132" s="53" t="s">
        <v>335</v>
      </c>
      <c r="E132" s="73"/>
      <c r="F132" s="74"/>
      <c r="G132" s="16"/>
      <c r="H132" s="1"/>
      <c r="I132" s="1"/>
      <c r="J132" s="19"/>
    </row>
    <row r="133" spans="1:10" x14ac:dyDescent="0.25">
      <c r="A133" s="1">
        <f t="shared" si="1"/>
        <v>60</v>
      </c>
      <c r="B133" s="31" t="s">
        <v>215</v>
      </c>
      <c r="C133" s="58" t="s">
        <v>216</v>
      </c>
      <c r="D133" s="53" t="s">
        <v>335</v>
      </c>
      <c r="E133" s="73"/>
      <c r="F133" s="74"/>
      <c r="G133" s="16"/>
      <c r="H133" s="1"/>
      <c r="I133" s="1"/>
      <c r="J133" s="19"/>
    </row>
    <row r="134" spans="1:10" x14ac:dyDescent="0.25">
      <c r="A134" s="1">
        <f t="shared" si="1"/>
        <v>61</v>
      </c>
      <c r="B134" s="31" t="s">
        <v>219</v>
      </c>
      <c r="C134" s="58" t="s">
        <v>220</v>
      </c>
      <c r="D134" s="53" t="s">
        <v>335</v>
      </c>
      <c r="E134" s="73"/>
      <c r="F134" s="74"/>
      <c r="G134" s="16"/>
      <c r="H134" s="1"/>
      <c r="I134" s="1"/>
      <c r="J134" s="19"/>
    </row>
    <row r="135" spans="1:10" x14ac:dyDescent="0.25">
      <c r="A135" s="1">
        <f t="shared" si="1"/>
        <v>62</v>
      </c>
      <c r="B135" s="31" t="s">
        <v>221</v>
      </c>
      <c r="C135" s="58" t="s">
        <v>222</v>
      </c>
      <c r="D135" s="53" t="s">
        <v>335</v>
      </c>
      <c r="E135" s="73"/>
      <c r="F135" s="74"/>
      <c r="G135" s="16"/>
      <c r="H135" s="1"/>
      <c r="I135" s="1"/>
      <c r="J135" s="19"/>
    </row>
    <row r="136" spans="1:10" x14ac:dyDescent="0.25">
      <c r="A136" s="1">
        <f t="shared" si="1"/>
        <v>63</v>
      </c>
      <c r="B136" s="31" t="s">
        <v>223</v>
      </c>
      <c r="C136" s="58" t="s">
        <v>224</v>
      </c>
      <c r="D136" s="53" t="s">
        <v>335</v>
      </c>
      <c r="E136" s="73"/>
      <c r="F136" s="74"/>
      <c r="G136" s="16"/>
      <c r="H136" s="1"/>
      <c r="I136" s="1"/>
      <c r="J136" s="19"/>
    </row>
    <row r="137" spans="1:10" x14ac:dyDescent="0.25">
      <c r="A137" s="1">
        <f t="shared" si="1"/>
        <v>64</v>
      </c>
      <c r="B137" s="31" t="s">
        <v>225</v>
      </c>
      <c r="C137" s="58" t="s">
        <v>226</v>
      </c>
      <c r="D137" s="53" t="s">
        <v>335</v>
      </c>
      <c r="E137" s="73"/>
      <c r="F137" s="74"/>
      <c r="G137" s="16"/>
      <c r="H137" s="1"/>
      <c r="I137" s="1"/>
      <c r="J137" s="19"/>
    </row>
    <row r="138" spans="1:10" x14ac:dyDescent="0.25">
      <c r="A138" s="1">
        <f t="shared" si="1"/>
        <v>65</v>
      </c>
      <c r="B138" s="31" t="s">
        <v>227</v>
      </c>
      <c r="C138" s="58" t="s">
        <v>228</v>
      </c>
      <c r="D138" s="53" t="s">
        <v>335</v>
      </c>
      <c r="E138" s="73"/>
      <c r="F138" s="74"/>
      <c r="G138" s="16"/>
      <c r="H138" s="1"/>
      <c r="I138" s="1"/>
      <c r="J138" s="19"/>
    </row>
    <row r="139" spans="1:10" x14ac:dyDescent="0.25">
      <c r="A139" s="1">
        <f t="shared" ref="A139:A202" si="2">A138+1</f>
        <v>66</v>
      </c>
      <c r="B139" s="31" t="s">
        <v>229</v>
      </c>
      <c r="C139" s="58" t="s">
        <v>230</v>
      </c>
      <c r="D139" s="53" t="s">
        <v>335</v>
      </c>
      <c r="E139" s="73"/>
      <c r="F139" s="74"/>
      <c r="G139" s="16"/>
      <c r="H139" s="1"/>
      <c r="I139" s="1"/>
      <c r="J139" s="19"/>
    </row>
    <row r="140" spans="1:10" x14ac:dyDescent="0.25">
      <c r="A140" s="1">
        <f t="shared" si="2"/>
        <v>67</v>
      </c>
      <c r="B140" s="31" t="s">
        <v>231</v>
      </c>
      <c r="C140" s="58" t="s">
        <v>232</v>
      </c>
      <c r="D140" s="53" t="s">
        <v>335</v>
      </c>
      <c r="E140" s="73"/>
      <c r="F140" s="74"/>
      <c r="G140" s="16"/>
      <c r="H140" s="1"/>
      <c r="I140" s="1"/>
      <c r="J140" s="19"/>
    </row>
    <row r="141" spans="1:10" x14ac:dyDescent="0.25">
      <c r="A141" s="1">
        <f t="shared" si="2"/>
        <v>68</v>
      </c>
      <c r="B141" s="31" t="s">
        <v>233</v>
      </c>
      <c r="C141" s="58" t="s">
        <v>234</v>
      </c>
      <c r="D141" s="53" t="s">
        <v>335</v>
      </c>
      <c r="E141" s="73"/>
      <c r="F141" s="74"/>
      <c r="G141" s="16"/>
      <c r="H141" s="1"/>
      <c r="I141" s="1"/>
      <c r="J141" s="19"/>
    </row>
    <row r="142" spans="1:10" x14ac:dyDescent="0.25">
      <c r="A142" s="1">
        <f t="shared" si="2"/>
        <v>69</v>
      </c>
      <c r="B142" s="31" t="s">
        <v>235</v>
      </c>
      <c r="C142" s="58" t="s">
        <v>236</v>
      </c>
      <c r="D142" s="53" t="s">
        <v>335</v>
      </c>
      <c r="E142" s="73"/>
      <c r="F142" s="74"/>
      <c r="G142" s="16"/>
      <c r="H142" s="1"/>
      <c r="I142" s="1"/>
      <c r="J142" s="19"/>
    </row>
    <row r="143" spans="1:10" x14ac:dyDescent="0.25">
      <c r="A143" s="1">
        <f t="shared" si="2"/>
        <v>70</v>
      </c>
      <c r="B143" s="56" t="s">
        <v>237</v>
      </c>
      <c r="C143" s="57" t="s">
        <v>238</v>
      </c>
      <c r="D143" s="53" t="s">
        <v>335</v>
      </c>
      <c r="E143" s="73"/>
      <c r="F143" s="74"/>
      <c r="G143" s="16"/>
      <c r="H143" s="1"/>
      <c r="I143" s="1"/>
      <c r="J143" s="19"/>
    </row>
    <row r="144" spans="1:10" x14ac:dyDescent="0.25">
      <c r="A144" s="1">
        <f t="shared" si="2"/>
        <v>71</v>
      </c>
      <c r="B144" s="31" t="s">
        <v>239</v>
      </c>
      <c r="C144" s="58" t="s">
        <v>240</v>
      </c>
      <c r="D144" s="53" t="s">
        <v>335</v>
      </c>
      <c r="E144" s="73"/>
      <c r="F144" s="74"/>
      <c r="G144" s="16"/>
      <c r="H144" s="1"/>
      <c r="I144" s="1"/>
      <c r="J144" s="19"/>
    </row>
    <row r="145" spans="1:10" x14ac:dyDescent="0.25">
      <c r="A145" s="1">
        <f t="shared" si="2"/>
        <v>72</v>
      </c>
      <c r="B145" s="31" t="s">
        <v>241</v>
      </c>
      <c r="C145" s="58" t="s">
        <v>242</v>
      </c>
      <c r="D145" s="53" t="s">
        <v>335</v>
      </c>
      <c r="E145" s="73"/>
      <c r="F145" s="74"/>
      <c r="G145" s="16"/>
      <c r="H145" s="1"/>
      <c r="I145" s="1"/>
      <c r="J145" s="19"/>
    </row>
    <row r="146" spans="1:10" x14ac:dyDescent="0.25">
      <c r="A146" s="1">
        <f t="shared" si="2"/>
        <v>73</v>
      </c>
      <c r="B146" s="31" t="s">
        <v>243</v>
      </c>
      <c r="C146" s="58" t="s">
        <v>244</v>
      </c>
      <c r="D146" s="53" t="s">
        <v>335</v>
      </c>
      <c r="E146" s="73"/>
      <c r="F146" s="74"/>
      <c r="G146" s="16"/>
      <c r="H146" s="1"/>
      <c r="I146" s="1"/>
      <c r="J146" s="19"/>
    </row>
    <row r="147" spans="1:10" x14ac:dyDescent="0.25">
      <c r="A147" s="1">
        <f t="shared" si="2"/>
        <v>74</v>
      </c>
      <c r="B147" s="31" t="s">
        <v>245</v>
      </c>
      <c r="C147" s="58" t="s">
        <v>246</v>
      </c>
      <c r="D147" s="53" t="s">
        <v>335</v>
      </c>
      <c r="E147" s="73"/>
      <c r="F147" s="74"/>
      <c r="G147" s="16"/>
      <c r="H147" s="1"/>
      <c r="I147" s="1"/>
      <c r="J147" s="19"/>
    </row>
    <row r="148" spans="1:10" x14ac:dyDescent="0.25">
      <c r="A148" s="1">
        <f>A147+1</f>
        <v>75</v>
      </c>
      <c r="B148" s="31" t="s">
        <v>247</v>
      </c>
      <c r="C148" s="58" t="s">
        <v>248</v>
      </c>
      <c r="D148" s="53" t="s">
        <v>335</v>
      </c>
      <c r="E148" s="73"/>
      <c r="F148" s="74"/>
      <c r="G148" s="16"/>
      <c r="H148" s="1"/>
      <c r="I148" s="1"/>
      <c r="J148" s="19"/>
    </row>
    <row r="149" spans="1:10" x14ac:dyDescent="0.25">
      <c r="A149" s="1">
        <f t="shared" si="2"/>
        <v>76</v>
      </c>
      <c r="B149" s="31" t="s">
        <v>249</v>
      </c>
      <c r="C149" s="58"/>
      <c r="D149" s="53" t="s">
        <v>335</v>
      </c>
      <c r="E149" s="73"/>
      <c r="F149" s="74"/>
      <c r="G149" s="16"/>
      <c r="H149" s="1"/>
      <c r="I149" s="1"/>
      <c r="J149" s="19"/>
    </row>
    <row r="150" spans="1:10" x14ac:dyDescent="0.25">
      <c r="A150" s="1">
        <f t="shared" si="2"/>
        <v>77</v>
      </c>
      <c r="B150" s="31" t="s">
        <v>250</v>
      </c>
      <c r="C150" s="58"/>
      <c r="D150" s="53" t="s">
        <v>335</v>
      </c>
      <c r="E150" s="73"/>
      <c r="F150" s="74"/>
      <c r="G150" s="16"/>
      <c r="H150" s="1"/>
      <c r="I150" s="1"/>
      <c r="J150" s="19"/>
    </row>
    <row r="151" spans="1:10" x14ac:dyDescent="0.25">
      <c r="A151" s="1">
        <f t="shared" si="2"/>
        <v>78</v>
      </c>
      <c r="B151" s="31" t="s">
        <v>251</v>
      </c>
      <c r="C151" s="58"/>
      <c r="D151" s="53" t="s">
        <v>335</v>
      </c>
      <c r="E151" s="73"/>
      <c r="F151" s="74"/>
      <c r="G151" s="16"/>
      <c r="H151" s="9"/>
      <c r="I151" s="1"/>
      <c r="J151" s="19"/>
    </row>
    <row r="152" spans="1:10" x14ac:dyDescent="0.25">
      <c r="A152" s="1">
        <f t="shared" si="2"/>
        <v>79</v>
      </c>
      <c r="B152" s="31" t="s">
        <v>252</v>
      </c>
      <c r="C152" s="58" t="s">
        <v>253</v>
      </c>
      <c r="D152" s="53" t="s">
        <v>335</v>
      </c>
      <c r="E152" s="73"/>
      <c r="F152" s="74"/>
      <c r="G152" s="16"/>
      <c r="H152" s="9"/>
      <c r="I152" s="1"/>
      <c r="J152" s="19"/>
    </row>
    <row r="153" spans="1:10" x14ac:dyDescent="0.25">
      <c r="A153" s="1">
        <f t="shared" si="2"/>
        <v>80</v>
      </c>
      <c r="B153" s="31" t="s">
        <v>254</v>
      </c>
      <c r="C153" s="58" t="s">
        <v>255</v>
      </c>
      <c r="D153" s="53" t="s">
        <v>335</v>
      </c>
      <c r="E153" s="73"/>
      <c r="F153" s="74"/>
      <c r="G153" s="16"/>
      <c r="H153" s="1"/>
      <c r="I153" s="1"/>
      <c r="J153" s="19"/>
    </row>
    <row r="154" spans="1:10" x14ac:dyDescent="0.25">
      <c r="A154" s="1">
        <f t="shared" si="2"/>
        <v>81</v>
      </c>
      <c r="B154" s="31" t="s">
        <v>4</v>
      </c>
      <c r="C154" s="58"/>
      <c r="D154" s="53" t="s">
        <v>335</v>
      </c>
      <c r="E154" s="73"/>
      <c r="F154" s="74"/>
      <c r="G154" s="16"/>
      <c r="H154" s="1"/>
      <c r="I154" s="1"/>
      <c r="J154" s="19"/>
    </row>
    <row r="155" spans="1:10" x14ac:dyDescent="0.25">
      <c r="A155" s="1">
        <f t="shared" si="2"/>
        <v>82</v>
      </c>
      <c r="B155" s="31" t="s">
        <v>256</v>
      </c>
      <c r="C155" s="58" t="s">
        <v>257</v>
      </c>
      <c r="D155" s="53" t="s">
        <v>335</v>
      </c>
      <c r="E155" s="73"/>
      <c r="F155" s="74"/>
      <c r="G155" s="16"/>
      <c r="H155" s="1"/>
      <c r="I155" s="1"/>
      <c r="J155" s="19"/>
    </row>
    <row r="156" spans="1:10" x14ac:dyDescent="0.25">
      <c r="A156" s="1">
        <f t="shared" si="2"/>
        <v>83</v>
      </c>
      <c r="B156" s="31" t="s">
        <v>258</v>
      </c>
      <c r="C156" s="58" t="s">
        <v>259</v>
      </c>
      <c r="D156" s="53" t="s">
        <v>335</v>
      </c>
      <c r="E156" s="73"/>
      <c r="F156" s="74"/>
      <c r="G156" s="16"/>
      <c r="H156" s="1"/>
      <c r="I156" s="1"/>
      <c r="J156" s="19"/>
    </row>
    <row r="157" spans="1:10" x14ac:dyDescent="0.25">
      <c r="A157" s="1">
        <f t="shared" si="2"/>
        <v>84</v>
      </c>
      <c r="B157" s="31" t="s">
        <v>260</v>
      </c>
      <c r="C157" s="58" t="s">
        <v>261</v>
      </c>
      <c r="D157" s="53" t="s">
        <v>335</v>
      </c>
      <c r="E157" s="73"/>
      <c r="F157" s="74"/>
      <c r="G157" s="16"/>
      <c r="H157" s="1"/>
      <c r="I157" s="1"/>
      <c r="J157" s="19"/>
    </row>
    <row r="158" spans="1:10" x14ac:dyDescent="0.25">
      <c r="A158" s="1">
        <f t="shared" si="2"/>
        <v>85</v>
      </c>
      <c r="B158" s="31" t="s">
        <v>262</v>
      </c>
      <c r="C158" s="58" t="s">
        <v>263</v>
      </c>
      <c r="D158" s="53" t="s">
        <v>335</v>
      </c>
      <c r="E158" s="73"/>
      <c r="F158" s="74"/>
      <c r="G158" s="16"/>
      <c r="H158" s="1"/>
      <c r="I158" s="1"/>
      <c r="J158" s="19"/>
    </row>
    <row r="159" spans="1:10" x14ac:dyDescent="0.25">
      <c r="A159" s="1">
        <f t="shared" si="2"/>
        <v>86</v>
      </c>
      <c r="B159" s="31" t="s">
        <v>264</v>
      </c>
      <c r="C159" s="58" t="s">
        <v>265</v>
      </c>
      <c r="D159" s="53" t="s">
        <v>335</v>
      </c>
      <c r="E159" s="73"/>
      <c r="F159" s="74"/>
      <c r="G159" s="16"/>
      <c r="H159" s="1"/>
      <c r="I159" s="1"/>
      <c r="J159" s="19"/>
    </row>
    <row r="160" spans="1:10" x14ac:dyDescent="0.25">
      <c r="A160" s="1">
        <f t="shared" si="2"/>
        <v>87</v>
      </c>
      <c r="B160" s="31" t="s">
        <v>266</v>
      </c>
      <c r="C160" s="58" t="s">
        <v>267</v>
      </c>
      <c r="D160" s="53" t="s">
        <v>335</v>
      </c>
      <c r="E160" s="73"/>
      <c r="F160" s="74"/>
      <c r="G160" s="16"/>
      <c r="H160" s="1"/>
      <c r="I160" s="1"/>
      <c r="J160" s="19"/>
    </row>
    <row r="161" spans="1:10" x14ac:dyDescent="0.25">
      <c r="A161" s="1">
        <f t="shared" si="2"/>
        <v>88</v>
      </c>
      <c r="B161" s="31" t="s">
        <v>268</v>
      </c>
      <c r="C161" s="58" t="s">
        <v>269</v>
      </c>
      <c r="D161" s="53" t="s">
        <v>335</v>
      </c>
      <c r="E161" s="73"/>
      <c r="F161" s="74"/>
      <c r="G161" s="16"/>
      <c r="H161" s="1"/>
      <c r="I161" s="1"/>
      <c r="J161" s="19"/>
    </row>
    <row r="162" spans="1:10" x14ac:dyDescent="0.25">
      <c r="A162" s="1">
        <f t="shared" si="2"/>
        <v>89</v>
      </c>
      <c r="B162" s="31" t="s">
        <v>271</v>
      </c>
      <c r="C162" s="58" t="s">
        <v>270</v>
      </c>
      <c r="D162" s="53" t="s">
        <v>335</v>
      </c>
      <c r="E162" s="73"/>
      <c r="F162" s="74"/>
      <c r="G162" s="16"/>
      <c r="H162" s="1"/>
      <c r="I162" s="1"/>
      <c r="J162" s="19"/>
    </row>
    <row r="163" spans="1:10" x14ac:dyDescent="0.25">
      <c r="A163" s="1">
        <f t="shared" si="2"/>
        <v>90</v>
      </c>
      <c r="B163" s="31" t="s">
        <v>272</v>
      </c>
      <c r="C163" s="58" t="s">
        <v>273</v>
      </c>
      <c r="D163" s="53" t="s">
        <v>335</v>
      </c>
      <c r="E163" s="73"/>
      <c r="F163" s="74"/>
      <c r="G163" s="16"/>
      <c r="H163" s="1"/>
      <c r="I163" s="1"/>
      <c r="J163" s="19"/>
    </row>
    <row r="164" spans="1:10" x14ac:dyDescent="0.25">
      <c r="A164" s="1">
        <f t="shared" si="2"/>
        <v>91</v>
      </c>
      <c r="B164" s="31" t="s">
        <v>274</v>
      </c>
      <c r="C164" s="58" t="s">
        <v>275</v>
      </c>
      <c r="D164" s="53" t="s">
        <v>335</v>
      </c>
      <c r="E164" s="73"/>
      <c r="F164" s="74"/>
      <c r="G164" s="16"/>
      <c r="H164" s="1"/>
      <c r="I164" s="1"/>
      <c r="J164" s="19"/>
    </row>
    <row r="165" spans="1:10" x14ac:dyDescent="0.25">
      <c r="A165" s="1">
        <f t="shared" si="2"/>
        <v>92</v>
      </c>
      <c r="B165" s="31" t="s">
        <v>276</v>
      </c>
      <c r="C165" s="58" t="s">
        <v>277</v>
      </c>
      <c r="D165" s="53" t="s">
        <v>335</v>
      </c>
      <c r="E165" s="73"/>
      <c r="F165" s="74"/>
      <c r="G165" s="16"/>
      <c r="H165" s="1"/>
      <c r="I165" s="1"/>
      <c r="J165" s="19"/>
    </row>
    <row r="166" spans="1:10" x14ac:dyDescent="0.25">
      <c r="A166" s="1">
        <f t="shared" si="2"/>
        <v>93</v>
      </c>
      <c r="B166" s="31" t="s">
        <v>278</v>
      </c>
      <c r="C166" s="58" t="s">
        <v>279</v>
      </c>
      <c r="D166" s="53" t="s">
        <v>335</v>
      </c>
      <c r="E166" s="73"/>
      <c r="F166" s="74"/>
      <c r="G166" s="16"/>
      <c r="H166" s="1"/>
      <c r="I166" s="1"/>
      <c r="J166" s="19"/>
    </row>
    <row r="167" spans="1:10" x14ac:dyDescent="0.25">
      <c r="A167" s="1">
        <f t="shared" si="2"/>
        <v>94</v>
      </c>
      <c r="B167" s="31" t="s">
        <v>280</v>
      </c>
      <c r="C167" s="58" t="s">
        <v>281</v>
      </c>
      <c r="D167" s="53" t="s">
        <v>335</v>
      </c>
      <c r="E167" s="73"/>
      <c r="F167" s="74"/>
      <c r="G167" s="16"/>
      <c r="H167" s="1"/>
      <c r="I167" s="1"/>
      <c r="J167" s="19"/>
    </row>
    <row r="168" spans="1:10" x14ac:dyDescent="0.25">
      <c r="A168" s="1">
        <f t="shared" si="2"/>
        <v>95</v>
      </c>
      <c r="B168" s="31" t="s">
        <v>282</v>
      </c>
      <c r="C168" s="58" t="s">
        <v>283</v>
      </c>
      <c r="D168" s="53" t="s">
        <v>335</v>
      </c>
      <c r="E168" s="73"/>
      <c r="F168" s="74"/>
      <c r="G168" s="16"/>
      <c r="H168" s="1"/>
      <c r="I168" s="1"/>
      <c r="J168" s="19"/>
    </row>
    <row r="169" spans="1:10" x14ac:dyDescent="0.25">
      <c r="A169" s="1">
        <f t="shared" si="2"/>
        <v>96</v>
      </c>
      <c r="B169" s="31" t="s">
        <v>284</v>
      </c>
      <c r="C169" s="58" t="s">
        <v>285</v>
      </c>
      <c r="D169" s="53" t="s">
        <v>335</v>
      </c>
      <c r="E169" s="73"/>
      <c r="F169" s="74"/>
      <c r="G169" s="16"/>
      <c r="H169" s="1"/>
      <c r="I169" s="1"/>
      <c r="J169" s="19"/>
    </row>
    <row r="170" spans="1:10" x14ac:dyDescent="0.25">
      <c r="A170" s="1">
        <f t="shared" si="2"/>
        <v>97</v>
      </c>
      <c r="B170" s="31" t="s">
        <v>286</v>
      </c>
      <c r="C170" s="58" t="s">
        <v>287</v>
      </c>
      <c r="D170" s="53" t="s">
        <v>335</v>
      </c>
      <c r="E170" s="73"/>
      <c r="F170" s="74"/>
      <c r="G170" s="16"/>
      <c r="H170" s="1"/>
      <c r="I170" s="1"/>
      <c r="J170" s="19"/>
    </row>
    <row r="171" spans="1:10" x14ac:dyDescent="0.25">
      <c r="A171" s="1">
        <f t="shared" si="2"/>
        <v>98</v>
      </c>
      <c r="B171" s="31" t="s">
        <v>288</v>
      </c>
      <c r="C171" s="58" t="s">
        <v>289</v>
      </c>
      <c r="D171" s="53" t="s">
        <v>335</v>
      </c>
      <c r="E171" s="73"/>
      <c r="F171" s="74"/>
      <c r="G171" s="16"/>
      <c r="H171" s="1"/>
      <c r="I171" s="1"/>
      <c r="J171" s="19"/>
    </row>
    <row r="172" spans="1:10" x14ac:dyDescent="0.25">
      <c r="A172" s="1">
        <f t="shared" si="2"/>
        <v>99</v>
      </c>
      <c r="B172" s="31" t="s">
        <v>290</v>
      </c>
      <c r="C172" s="58" t="s">
        <v>291</v>
      </c>
      <c r="D172" s="53" t="s">
        <v>335</v>
      </c>
      <c r="E172" s="73"/>
      <c r="F172" s="74"/>
      <c r="G172" s="16"/>
      <c r="H172" s="1"/>
      <c r="I172" s="1"/>
      <c r="J172" s="19"/>
    </row>
    <row r="173" spans="1:10" x14ac:dyDescent="0.25">
      <c r="A173" s="1">
        <f t="shared" si="2"/>
        <v>100</v>
      </c>
      <c r="B173" s="31" t="s">
        <v>292</v>
      </c>
      <c r="C173" s="58" t="s">
        <v>293</v>
      </c>
      <c r="D173" s="53" t="s">
        <v>335</v>
      </c>
      <c r="E173" s="73"/>
      <c r="F173" s="74"/>
      <c r="G173" s="16"/>
      <c r="H173" s="1"/>
      <c r="I173" s="1"/>
      <c r="J173" s="19"/>
    </row>
    <row r="174" spans="1:10" x14ac:dyDescent="0.25">
      <c r="A174" s="1">
        <f t="shared" si="2"/>
        <v>101</v>
      </c>
      <c r="B174" s="31" t="s">
        <v>294</v>
      </c>
      <c r="C174" s="58" t="s">
        <v>295</v>
      </c>
      <c r="D174" s="53" t="s">
        <v>335</v>
      </c>
      <c r="E174" s="73"/>
      <c r="F174" s="74"/>
      <c r="G174" s="16"/>
      <c r="H174" s="1"/>
      <c r="I174" s="1"/>
      <c r="J174" s="19"/>
    </row>
    <row r="175" spans="1:10" x14ac:dyDescent="0.25">
      <c r="A175" s="1">
        <f t="shared" si="2"/>
        <v>102</v>
      </c>
      <c r="B175" s="31" t="s">
        <v>296</v>
      </c>
      <c r="C175" s="58" t="s">
        <v>297</v>
      </c>
      <c r="D175" s="53" t="s">
        <v>335</v>
      </c>
      <c r="E175" s="73"/>
      <c r="F175" s="74"/>
      <c r="G175" s="16"/>
      <c r="H175" s="1"/>
      <c r="I175" s="1"/>
      <c r="J175" s="19"/>
    </row>
    <row r="176" spans="1:10" x14ac:dyDescent="0.25">
      <c r="A176" s="1">
        <f t="shared" si="2"/>
        <v>103</v>
      </c>
      <c r="B176" s="31" t="s">
        <v>298</v>
      </c>
      <c r="C176" s="58" t="s">
        <v>299</v>
      </c>
      <c r="D176" s="53" t="s">
        <v>335</v>
      </c>
      <c r="E176" s="73"/>
      <c r="F176" s="74"/>
      <c r="G176" s="16"/>
      <c r="H176" s="1"/>
      <c r="I176" s="1"/>
      <c r="J176" s="19"/>
    </row>
    <row r="177" spans="1:10" x14ac:dyDescent="0.25">
      <c r="A177" s="1">
        <f t="shared" si="2"/>
        <v>104</v>
      </c>
      <c r="B177" s="31" t="s">
        <v>300</v>
      </c>
      <c r="C177" s="58" t="s">
        <v>301</v>
      </c>
      <c r="D177" s="53" t="s">
        <v>335</v>
      </c>
      <c r="E177" s="73"/>
      <c r="F177" s="74"/>
      <c r="G177" s="16"/>
      <c r="H177" s="1"/>
      <c r="I177" s="1"/>
      <c r="J177" s="19"/>
    </row>
    <row r="178" spans="1:10" x14ac:dyDescent="0.25">
      <c r="A178" s="1">
        <f t="shared" si="2"/>
        <v>105</v>
      </c>
      <c r="B178" s="31" t="s">
        <v>302</v>
      </c>
      <c r="C178" s="58" t="s">
        <v>303</v>
      </c>
      <c r="D178" s="53" t="s">
        <v>335</v>
      </c>
      <c r="E178" s="73"/>
      <c r="F178" s="74"/>
      <c r="G178" s="16"/>
      <c r="H178" s="1"/>
      <c r="I178" s="1"/>
      <c r="J178" s="19"/>
    </row>
    <row r="179" spans="1:10" x14ac:dyDescent="0.25">
      <c r="A179" s="1">
        <f t="shared" si="2"/>
        <v>106</v>
      </c>
      <c r="B179" s="31" t="s">
        <v>304</v>
      </c>
      <c r="C179" s="58" t="s">
        <v>305</v>
      </c>
      <c r="D179" s="53" t="s">
        <v>335</v>
      </c>
      <c r="E179" s="73"/>
      <c r="F179" s="74"/>
      <c r="G179" s="16"/>
      <c r="H179" s="1"/>
      <c r="I179" s="1"/>
      <c r="J179" s="19"/>
    </row>
    <row r="180" spans="1:10" x14ac:dyDescent="0.25">
      <c r="A180" s="1">
        <f t="shared" si="2"/>
        <v>107</v>
      </c>
      <c r="B180" s="31" t="s">
        <v>306</v>
      </c>
      <c r="C180" s="58" t="s">
        <v>307</v>
      </c>
      <c r="D180" s="53" t="s">
        <v>335</v>
      </c>
      <c r="E180" s="73"/>
      <c r="F180" s="74"/>
      <c r="G180" s="16"/>
      <c r="H180" s="1"/>
      <c r="I180" s="1"/>
      <c r="J180" s="19"/>
    </row>
    <row r="181" spans="1:10" x14ac:dyDescent="0.25">
      <c r="A181" s="1">
        <f t="shared" si="2"/>
        <v>108</v>
      </c>
      <c r="B181" s="31" t="s">
        <v>308</v>
      </c>
      <c r="C181" s="58" t="s">
        <v>309</v>
      </c>
      <c r="D181" s="53" t="s">
        <v>335</v>
      </c>
      <c r="E181" s="73"/>
      <c r="F181" s="74"/>
      <c r="G181" s="16"/>
      <c r="H181" s="1"/>
      <c r="I181" s="1"/>
      <c r="J181" s="19"/>
    </row>
    <row r="182" spans="1:10" x14ac:dyDescent="0.25">
      <c r="A182" s="1">
        <f t="shared" si="2"/>
        <v>109</v>
      </c>
      <c r="B182" s="31" t="s">
        <v>310</v>
      </c>
      <c r="C182" s="58" t="s">
        <v>311</v>
      </c>
      <c r="D182" s="53" t="s">
        <v>334</v>
      </c>
      <c r="E182" s="73"/>
      <c r="F182" s="74"/>
      <c r="G182" s="16"/>
      <c r="H182" s="1"/>
      <c r="I182" s="1"/>
      <c r="J182" s="19"/>
    </row>
    <row r="183" spans="1:10" x14ac:dyDescent="0.25">
      <c r="A183" s="1">
        <f t="shared" si="2"/>
        <v>110</v>
      </c>
      <c r="B183" s="31" t="s">
        <v>312</v>
      </c>
      <c r="C183" s="58" t="s">
        <v>313</v>
      </c>
      <c r="D183" s="53" t="s">
        <v>335</v>
      </c>
      <c r="E183" s="73"/>
      <c r="F183" s="74"/>
      <c r="G183" s="16"/>
      <c r="H183" s="1"/>
      <c r="I183" s="1"/>
      <c r="J183" s="19"/>
    </row>
    <row r="184" spans="1:10" x14ac:dyDescent="0.25">
      <c r="A184" s="1">
        <f t="shared" si="2"/>
        <v>111</v>
      </c>
      <c r="B184" s="31" t="s">
        <v>314</v>
      </c>
      <c r="C184" s="58" t="s">
        <v>315</v>
      </c>
      <c r="D184" s="53" t="s">
        <v>335</v>
      </c>
      <c r="E184" s="73"/>
      <c r="F184" s="74"/>
      <c r="G184" s="16"/>
      <c r="H184" s="1"/>
      <c r="I184" s="1"/>
      <c r="J184" s="19"/>
    </row>
    <row r="185" spans="1:10" x14ac:dyDescent="0.25">
      <c r="A185" s="1">
        <f t="shared" si="2"/>
        <v>112</v>
      </c>
      <c r="B185" s="31" t="s">
        <v>316</v>
      </c>
      <c r="C185" s="58" t="s">
        <v>317</v>
      </c>
      <c r="D185" s="53" t="s">
        <v>335</v>
      </c>
      <c r="E185" s="73"/>
      <c r="F185" s="74"/>
      <c r="G185" s="16"/>
      <c r="H185" s="1"/>
      <c r="I185" s="1"/>
      <c r="J185" s="19"/>
    </row>
    <row r="186" spans="1:10" x14ac:dyDescent="0.25">
      <c r="A186" s="1">
        <f t="shared" si="2"/>
        <v>113</v>
      </c>
      <c r="B186" s="31" t="s">
        <v>318</v>
      </c>
      <c r="C186" s="58" t="s">
        <v>319</v>
      </c>
      <c r="D186" s="53" t="s">
        <v>335</v>
      </c>
      <c r="E186" s="73"/>
      <c r="F186" s="74"/>
      <c r="G186" s="16"/>
      <c r="H186" s="1"/>
      <c r="I186" s="1"/>
      <c r="J186" s="19"/>
    </row>
    <row r="187" spans="1:10" x14ac:dyDescent="0.25">
      <c r="A187" s="1">
        <f t="shared" si="2"/>
        <v>114</v>
      </c>
      <c r="B187" s="31" t="s">
        <v>320</v>
      </c>
      <c r="C187" s="58" t="s">
        <v>321</v>
      </c>
      <c r="D187" s="53" t="s">
        <v>335</v>
      </c>
      <c r="E187" s="73"/>
      <c r="F187" s="74"/>
      <c r="G187" s="16"/>
      <c r="H187" s="1"/>
      <c r="I187" s="1"/>
      <c r="J187" s="19"/>
    </row>
    <row r="188" spans="1:10" x14ac:dyDescent="0.25">
      <c r="A188" s="1">
        <f t="shared" si="2"/>
        <v>115</v>
      </c>
      <c r="B188" s="31" t="s">
        <v>322</v>
      </c>
      <c r="C188" s="58" t="s">
        <v>323</v>
      </c>
      <c r="D188" s="53" t="s">
        <v>335</v>
      </c>
      <c r="E188" s="73"/>
      <c r="F188" s="74"/>
      <c r="G188" s="16"/>
      <c r="H188" s="1"/>
      <c r="I188" s="1"/>
      <c r="J188" s="19"/>
    </row>
    <row r="189" spans="1:10" x14ac:dyDescent="0.25">
      <c r="A189" s="1">
        <f t="shared" si="2"/>
        <v>116</v>
      </c>
      <c r="B189" s="31" t="s">
        <v>324</v>
      </c>
      <c r="C189" s="58" t="s">
        <v>325</v>
      </c>
      <c r="D189" s="53" t="s">
        <v>335</v>
      </c>
      <c r="E189" s="73"/>
      <c r="F189" s="74"/>
      <c r="G189" s="16"/>
      <c r="H189" s="1"/>
      <c r="I189" s="1"/>
      <c r="J189" s="19"/>
    </row>
    <row r="190" spans="1:10" x14ac:dyDescent="0.25">
      <c r="A190" s="1">
        <f t="shared" si="2"/>
        <v>117</v>
      </c>
      <c r="B190" s="31" t="s">
        <v>326</v>
      </c>
      <c r="C190" s="58" t="s">
        <v>327</v>
      </c>
      <c r="D190" s="53" t="s">
        <v>335</v>
      </c>
      <c r="E190" s="73"/>
      <c r="F190" s="74"/>
      <c r="G190" s="16"/>
      <c r="H190" s="1"/>
      <c r="I190" s="1"/>
      <c r="J190" s="19"/>
    </row>
    <row r="191" spans="1:10" x14ac:dyDescent="0.25">
      <c r="A191" s="1">
        <f t="shared" si="2"/>
        <v>118</v>
      </c>
      <c r="B191" s="31" t="s">
        <v>328</v>
      </c>
      <c r="C191" s="58" t="s">
        <v>329</v>
      </c>
      <c r="D191" s="53" t="s">
        <v>335</v>
      </c>
      <c r="E191" s="73"/>
      <c r="F191" s="74"/>
      <c r="G191" s="16"/>
      <c r="H191" s="1"/>
      <c r="I191" s="1"/>
      <c r="J191" s="19"/>
    </row>
    <row r="192" spans="1:10" x14ac:dyDescent="0.25">
      <c r="A192" s="1">
        <f t="shared" si="2"/>
        <v>119</v>
      </c>
      <c r="B192" s="31" t="s">
        <v>330</v>
      </c>
      <c r="C192" s="58" t="s">
        <v>331</v>
      </c>
      <c r="D192" s="53" t="s">
        <v>335</v>
      </c>
      <c r="E192" s="73"/>
      <c r="F192" s="74"/>
      <c r="G192" s="16"/>
      <c r="H192" s="1"/>
      <c r="I192" s="1"/>
      <c r="J192" s="19"/>
    </row>
    <row r="193" spans="1:10" x14ac:dyDescent="0.25">
      <c r="A193" s="1">
        <f t="shared" si="2"/>
        <v>120</v>
      </c>
      <c r="B193" s="31" t="s">
        <v>332</v>
      </c>
      <c r="C193" s="58" t="s">
        <v>333</v>
      </c>
      <c r="D193" s="53" t="s">
        <v>335</v>
      </c>
      <c r="E193" s="73"/>
      <c r="F193" s="74"/>
      <c r="G193" s="16"/>
      <c r="H193" s="1"/>
      <c r="I193" s="1"/>
      <c r="J193" s="19"/>
    </row>
    <row r="194" spans="1:10" x14ac:dyDescent="0.25">
      <c r="A194" s="1">
        <f t="shared" si="2"/>
        <v>121</v>
      </c>
      <c r="B194" s="31"/>
      <c r="C194" s="58"/>
      <c r="D194" s="53"/>
      <c r="E194" s="73"/>
      <c r="F194" s="74"/>
      <c r="G194" s="16"/>
      <c r="H194" s="1"/>
      <c r="I194" s="1"/>
      <c r="J194" s="19"/>
    </row>
    <row r="195" spans="1:10" x14ac:dyDescent="0.25">
      <c r="A195" s="1">
        <f t="shared" si="2"/>
        <v>122</v>
      </c>
      <c r="B195" s="31"/>
      <c r="C195" s="58"/>
      <c r="D195" s="53"/>
      <c r="E195" s="73"/>
      <c r="F195" s="74"/>
      <c r="G195" s="16"/>
      <c r="H195" s="1"/>
      <c r="I195" s="1"/>
      <c r="J195" s="19"/>
    </row>
    <row r="196" spans="1:10" x14ac:dyDescent="0.25">
      <c r="A196" s="1">
        <f t="shared" si="2"/>
        <v>123</v>
      </c>
      <c r="B196" s="31"/>
      <c r="C196" s="58"/>
      <c r="D196" s="53"/>
      <c r="E196" s="73"/>
      <c r="F196" s="74"/>
      <c r="G196" s="16"/>
      <c r="H196" s="1"/>
      <c r="I196" s="1"/>
      <c r="J196" s="19"/>
    </row>
    <row r="197" spans="1:10" x14ac:dyDescent="0.25">
      <c r="A197" s="1">
        <f t="shared" si="2"/>
        <v>124</v>
      </c>
      <c r="B197" s="31"/>
      <c r="C197" s="58"/>
      <c r="D197" s="53"/>
      <c r="E197" s="73"/>
      <c r="F197" s="74"/>
      <c r="G197" s="16"/>
      <c r="H197" s="1"/>
      <c r="I197" s="1"/>
      <c r="J197" s="19"/>
    </row>
    <row r="198" spans="1:10" x14ac:dyDescent="0.25">
      <c r="A198" s="1">
        <f t="shared" si="2"/>
        <v>125</v>
      </c>
      <c r="B198" s="31"/>
      <c r="C198" s="58"/>
      <c r="D198" s="52"/>
      <c r="E198" s="79"/>
      <c r="F198" s="74"/>
      <c r="G198" s="16"/>
      <c r="H198" s="1"/>
      <c r="I198" s="1"/>
      <c r="J198" s="19"/>
    </row>
    <row r="199" spans="1:10" x14ac:dyDescent="0.25">
      <c r="A199" s="1">
        <f t="shared" si="2"/>
        <v>126</v>
      </c>
      <c r="B199" s="31"/>
      <c r="C199" s="58"/>
      <c r="D199" s="52"/>
      <c r="E199" s="79"/>
      <c r="F199" s="74"/>
      <c r="G199" s="16"/>
      <c r="H199" s="1"/>
      <c r="I199" s="1"/>
      <c r="J199" s="19"/>
    </row>
    <row r="200" spans="1:10" x14ac:dyDescent="0.25">
      <c r="A200" s="1">
        <f t="shared" si="2"/>
        <v>127</v>
      </c>
      <c r="B200" s="31"/>
      <c r="C200" s="58"/>
      <c r="D200" s="52"/>
      <c r="E200" s="79"/>
      <c r="F200" s="74"/>
      <c r="G200" s="16"/>
      <c r="H200" s="1"/>
      <c r="I200" s="1"/>
      <c r="J200" s="19"/>
    </row>
    <row r="201" spans="1:10" x14ac:dyDescent="0.25">
      <c r="A201" s="1">
        <f t="shared" si="2"/>
        <v>128</v>
      </c>
      <c r="B201" s="31"/>
      <c r="C201" s="58"/>
      <c r="D201" s="15"/>
      <c r="E201" s="80"/>
      <c r="F201" s="81"/>
      <c r="G201" s="16"/>
      <c r="H201" s="1"/>
      <c r="I201" s="1"/>
      <c r="J201" s="19"/>
    </row>
    <row r="202" spans="1:10" x14ac:dyDescent="0.25">
      <c r="A202" s="1">
        <f t="shared" si="2"/>
        <v>129</v>
      </c>
      <c r="B202" s="31"/>
      <c r="C202" s="58"/>
      <c r="D202" s="15"/>
      <c r="E202" s="80"/>
      <c r="F202" s="81"/>
      <c r="G202" s="16"/>
      <c r="H202" s="1"/>
      <c r="I202" s="1"/>
      <c r="J202" s="19"/>
    </row>
    <row r="203" spans="1:10" x14ac:dyDescent="0.25">
      <c r="A203" s="1">
        <f>A202+1</f>
        <v>130</v>
      </c>
      <c r="B203" s="31"/>
      <c r="C203" s="58"/>
      <c r="D203" s="15"/>
      <c r="E203" s="80"/>
      <c r="F203" s="81"/>
      <c r="G203" s="16"/>
      <c r="H203" s="1"/>
      <c r="I203" s="1"/>
      <c r="J203" s="19"/>
    </row>
    <row r="204" spans="1:10" x14ac:dyDescent="0.25">
      <c r="A204" s="1">
        <f>A70+1</f>
        <v>69</v>
      </c>
      <c r="B204" s="59"/>
      <c r="C204" s="60"/>
      <c r="D204" s="15"/>
      <c r="E204" s="80"/>
      <c r="F204" s="81"/>
      <c r="G204" s="16"/>
      <c r="H204" s="1"/>
      <c r="I204" s="1"/>
      <c r="J204" s="19"/>
    </row>
    <row r="205" spans="1:10" ht="15.75" thickBot="1" x14ac:dyDescent="0.3">
      <c r="A205" s="1">
        <f>A203+1</f>
        <v>131</v>
      </c>
      <c r="B205" s="31"/>
      <c r="C205" s="58"/>
      <c r="D205" s="15"/>
      <c r="E205" s="80"/>
      <c r="F205" s="82"/>
      <c r="G205" s="20"/>
      <c r="H205" s="21"/>
      <c r="I205" s="21"/>
      <c r="J205" s="22"/>
    </row>
  </sheetData>
  <mergeCells count="1">
    <mergeCell ref="A1:C1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05"/>
  <sheetViews>
    <sheetView workbookViewId="0">
      <selection activeCell="A4" sqref="A4"/>
    </sheetView>
  </sheetViews>
  <sheetFormatPr baseColWidth="10" defaultRowHeight="15" x14ac:dyDescent="0.25"/>
  <cols>
    <col min="1" max="1" width="3.28515625" customWidth="1"/>
    <col min="2" max="2" width="39.140625" customWidth="1"/>
    <col min="7" max="7" width="6.42578125" customWidth="1"/>
  </cols>
  <sheetData>
    <row r="1" spans="1:10" ht="15.75" thickBot="1" x14ac:dyDescent="0.3">
      <c r="A1" s="379" t="s">
        <v>8</v>
      </c>
      <c r="B1" s="379"/>
      <c r="C1" s="380"/>
      <c r="D1" s="38"/>
      <c r="E1" s="39"/>
      <c r="F1" s="39" t="s">
        <v>92</v>
      </c>
      <c r="G1" s="39"/>
      <c r="H1" s="40"/>
      <c r="I1" s="41"/>
    </row>
    <row r="2" spans="1:10" ht="15.75" thickBot="1" x14ac:dyDescent="0.3">
      <c r="A2" s="6" t="s">
        <v>3</v>
      </c>
      <c r="B2" s="49" t="s">
        <v>0</v>
      </c>
      <c r="C2" s="48" t="s">
        <v>1</v>
      </c>
      <c r="D2" s="10" t="s">
        <v>2</v>
      </c>
      <c r="E2" s="71" t="s">
        <v>336</v>
      </c>
      <c r="F2" s="72" t="s">
        <v>337</v>
      </c>
      <c r="G2" s="50" t="s">
        <v>10</v>
      </c>
      <c r="H2" s="51" t="s">
        <v>11</v>
      </c>
      <c r="I2" s="17" t="s">
        <v>12</v>
      </c>
      <c r="J2" s="18" t="s">
        <v>13</v>
      </c>
    </row>
    <row r="3" spans="1:10" x14ac:dyDescent="0.25">
      <c r="A3" s="1">
        <v>1</v>
      </c>
      <c r="B3" s="1" t="s">
        <v>14</v>
      </c>
      <c r="C3" s="4" t="s">
        <v>100</v>
      </c>
      <c r="D3" s="53" t="s">
        <v>5</v>
      </c>
      <c r="E3" s="73"/>
      <c r="F3" s="74"/>
      <c r="G3" s="16"/>
      <c r="H3" s="68"/>
      <c r="I3" s="1"/>
      <c r="J3" s="19"/>
    </row>
    <row r="4" spans="1:10" x14ac:dyDescent="0.25">
      <c r="A4" s="1">
        <f>A3+1</f>
        <v>2</v>
      </c>
      <c r="B4" s="1" t="s">
        <v>15</v>
      </c>
      <c r="C4" s="4"/>
      <c r="D4" s="53" t="s">
        <v>5</v>
      </c>
      <c r="E4" s="73"/>
      <c r="F4" s="74"/>
      <c r="G4" s="16"/>
      <c r="H4" s="1"/>
      <c r="I4" s="1"/>
      <c r="J4" s="19"/>
    </row>
    <row r="5" spans="1:10" x14ac:dyDescent="0.25">
      <c r="A5" s="1">
        <f t="shared" ref="A5:A68" si="0">A4+1</f>
        <v>3</v>
      </c>
      <c r="B5" s="3" t="s">
        <v>16</v>
      </c>
      <c r="C5" s="5" t="s">
        <v>101</v>
      </c>
      <c r="D5" s="54" t="s">
        <v>5</v>
      </c>
      <c r="E5" s="73"/>
      <c r="F5" s="74"/>
      <c r="G5" s="16"/>
      <c r="H5" s="1"/>
      <c r="I5" s="1"/>
      <c r="J5" s="19"/>
    </row>
    <row r="6" spans="1:10" x14ac:dyDescent="0.25">
      <c r="A6" s="1">
        <f t="shared" si="0"/>
        <v>4</v>
      </c>
      <c r="B6" s="1" t="s">
        <v>17</v>
      </c>
      <c r="C6" s="4"/>
      <c r="D6" s="53" t="s">
        <v>5</v>
      </c>
      <c r="E6" s="73"/>
      <c r="F6" s="74"/>
      <c r="G6" s="16"/>
      <c r="H6" s="1"/>
      <c r="I6" s="1"/>
      <c r="J6" s="19"/>
    </row>
    <row r="7" spans="1:10" x14ac:dyDescent="0.25">
      <c r="A7" s="1">
        <f t="shared" si="0"/>
        <v>5</v>
      </c>
      <c r="B7" s="1" t="s">
        <v>18</v>
      </c>
      <c r="C7" s="4"/>
      <c r="D7" s="53" t="s">
        <v>5</v>
      </c>
      <c r="E7" s="73"/>
      <c r="F7" s="74"/>
      <c r="G7" s="16"/>
      <c r="H7" s="1"/>
      <c r="I7" s="1"/>
      <c r="J7" s="19"/>
    </row>
    <row r="8" spans="1:10" x14ac:dyDescent="0.25">
      <c r="A8" s="1">
        <f t="shared" si="0"/>
        <v>6</v>
      </c>
      <c r="B8" s="1" t="s">
        <v>19</v>
      </c>
      <c r="C8" s="4"/>
      <c r="D8" s="53" t="s">
        <v>5</v>
      </c>
      <c r="E8" s="73"/>
      <c r="F8" s="74"/>
      <c r="G8" s="16"/>
      <c r="H8" s="1"/>
      <c r="I8" s="1"/>
      <c r="J8" s="19"/>
    </row>
    <row r="9" spans="1:10" x14ac:dyDescent="0.25">
      <c r="A9" s="1">
        <f t="shared" si="0"/>
        <v>7</v>
      </c>
      <c r="B9" s="1" t="s">
        <v>20</v>
      </c>
      <c r="C9" s="4"/>
      <c r="D9" s="53" t="s">
        <v>5</v>
      </c>
      <c r="E9" s="73"/>
      <c r="F9" s="74"/>
      <c r="G9" s="16"/>
      <c r="H9" s="1"/>
      <c r="I9" s="1"/>
      <c r="J9" s="19"/>
    </row>
    <row r="10" spans="1:10" x14ac:dyDescent="0.25">
      <c r="A10" s="1">
        <f t="shared" si="0"/>
        <v>8</v>
      </c>
      <c r="B10" s="1" t="s">
        <v>21</v>
      </c>
      <c r="C10" s="4"/>
      <c r="D10" s="53" t="s">
        <v>5</v>
      </c>
      <c r="E10" s="73"/>
      <c r="F10" s="74"/>
      <c r="G10" s="16"/>
      <c r="H10" s="1"/>
      <c r="I10" s="1"/>
      <c r="J10" s="19"/>
    </row>
    <row r="11" spans="1:10" x14ac:dyDescent="0.25">
      <c r="A11" s="1">
        <f t="shared" si="0"/>
        <v>9</v>
      </c>
      <c r="B11" s="1" t="s">
        <v>22</v>
      </c>
      <c r="C11" s="4"/>
      <c r="D11" s="53" t="s">
        <v>5</v>
      </c>
      <c r="E11" s="73"/>
      <c r="F11" s="74"/>
      <c r="G11" s="16"/>
      <c r="H11" s="1"/>
      <c r="I11" s="1"/>
      <c r="J11" s="19"/>
    </row>
    <row r="12" spans="1:10" x14ac:dyDescent="0.25">
      <c r="A12" s="1">
        <f t="shared" si="0"/>
        <v>10</v>
      </c>
      <c r="B12" s="1" t="s">
        <v>23</v>
      </c>
      <c r="C12" s="4"/>
      <c r="D12" s="53" t="s">
        <v>5</v>
      </c>
      <c r="E12" s="73"/>
      <c r="F12" s="74"/>
      <c r="G12" s="16"/>
      <c r="H12" s="1"/>
      <c r="I12" s="1"/>
      <c r="J12" s="19"/>
    </row>
    <row r="13" spans="1:10" x14ac:dyDescent="0.25">
      <c r="A13" s="1">
        <f t="shared" si="0"/>
        <v>11</v>
      </c>
      <c r="B13" s="1" t="s">
        <v>24</v>
      </c>
      <c r="C13" s="4"/>
      <c r="D13" s="53" t="s">
        <v>5</v>
      </c>
      <c r="E13" s="73"/>
      <c r="F13" s="74"/>
      <c r="G13" s="16"/>
      <c r="H13" s="1"/>
      <c r="I13" s="1"/>
      <c r="J13" s="19"/>
    </row>
    <row r="14" spans="1:10" x14ac:dyDescent="0.25">
      <c r="A14" s="1">
        <f t="shared" si="0"/>
        <v>12</v>
      </c>
      <c r="B14" s="1" t="s">
        <v>25</v>
      </c>
      <c r="C14" s="4"/>
      <c r="D14" s="53" t="s">
        <v>5</v>
      </c>
      <c r="E14" s="73"/>
      <c r="F14" s="74"/>
      <c r="G14" s="16"/>
      <c r="H14" s="1"/>
      <c r="I14" s="1"/>
      <c r="J14" s="19"/>
    </row>
    <row r="15" spans="1:10" x14ac:dyDescent="0.25">
      <c r="A15" s="1">
        <f t="shared" si="0"/>
        <v>13</v>
      </c>
      <c r="B15" s="1" t="s">
        <v>26</v>
      </c>
      <c r="C15" s="4"/>
      <c r="D15" s="53" t="s">
        <v>5</v>
      </c>
      <c r="E15" s="73"/>
      <c r="F15" s="74"/>
      <c r="G15" s="16"/>
      <c r="H15" s="1"/>
      <c r="I15" s="1"/>
      <c r="J15" s="19"/>
    </row>
    <row r="16" spans="1:10" x14ac:dyDescent="0.25">
      <c r="A16" s="1">
        <f t="shared" si="0"/>
        <v>14</v>
      </c>
      <c r="B16" s="1" t="s">
        <v>27</v>
      </c>
      <c r="C16" s="4"/>
      <c r="D16" s="53" t="s">
        <v>5</v>
      </c>
      <c r="E16" s="73"/>
      <c r="F16" s="74"/>
      <c r="G16" s="16"/>
      <c r="H16" s="1"/>
      <c r="I16" s="1"/>
      <c r="J16" s="19"/>
    </row>
    <row r="17" spans="1:10" x14ac:dyDescent="0.25">
      <c r="A17" s="1">
        <f t="shared" si="0"/>
        <v>15</v>
      </c>
      <c r="B17" s="31" t="s">
        <v>28</v>
      </c>
      <c r="C17" s="4"/>
      <c r="D17" s="53" t="s">
        <v>5</v>
      </c>
      <c r="E17" s="73"/>
      <c r="F17" s="74"/>
      <c r="G17" s="16"/>
      <c r="H17" s="1"/>
      <c r="I17" s="1"/>
      <c r="J17" s="19"/>
    </row>
    <row r="18" spans="1:10" x14ac:dyDescent="0.25">
      <c r="A18" s="1">
        <f t="shared" si="0"/>
        <v>16</v>
      </c>
      <c r="B18" s="1" t="s">
        <v>29</v>
      </c>
      <c r="C18" s="4"/>
      <c r="D18" s="53" t="s">
        <v>7</v>
      </c>
      <c r="E18" s="73"/>
      <c r="F18" s="74"/>
      <c r="G18" s="16"/>
      <c r="H18" s="1"/>
      <c r="I18" s="1"/>
      <c r="J18" s="19"/>
    </row>
    <row r="19" spans="1:10" x14ac:dyDescent="0.25">
      <c r="A19" s="1">
        <f t="shared" si="0"/>
        <v>17</v>
      </c>
      <c r="B19" s="1" t="s">
        <v>30</v>
      </c>
      <c r="C19" s="4"/>
      <c r="D19" s="53" t="s">
        <v>5</v>
      </c>
      <c r="E19" s="73"/>
      <c r="F19" s="74"/>
      <c r="G19" s="16"/>
      <c r="H19" s="1"/>
      <c r="I19" s="1"/>
      <c r="J19" s="19"/>
    </row>
    <row r="20" spans="1:10" x14ac:dyDescent="0.25">
      <c r="A20" s="1">
        <f t="shared" si="0"/>
        <v>18</v>
      </c>
      <c r="B20" s="1" t="s">
        <v>31</v>
      </c>
      <c r="C20" s="4"/>
      <c r="D20" s="53" t="s">
        <v>5</v>
      </c>
      <c r="E20" s="73"/>
      <c r="F20" s="74"/>
      <c r="G20" s="16"/>
      <c r="H20" s="1"/>
      <c r="I20" s="1"/>
      <c r="J20" s="19"/>
    </row>
    <row r="21" spans="1:10" x14ac:dyDescent="0.25">
      <c r="A21" s="1">
        <f t="shared" si="0"/>
        <v>19</v>
      </c>
      <c r="B21" s="1" t="s">
        <v>32</v>
      </c>
      <c r="C21" s="4"/>
      <c r="D21" s="53" t="s">
        <v>5</v>
      </c>
      <c r="E21" s="73"/>
      <c r="F21" s="74"/>
      <c r="G21" s="16"/>
      <c r="H21" s="1"/>
      <c r="I21" s="1"/>
      <c r="J21" s="19"/>
    </row>
    <row r="22" spans="1:10" x14ac:dyDescent="0.25">
      <c r="A22" s="1">
        <f t="shared" si="0"/>
        <v>20</v>
      </c>
      <c r="B22" s="1" t="s">
        <v>33</v>
      </c>
      <c r="C22" s="4"/>
      <c r="D22" s="53" t="s">
        <v>5</v>
      </c>
      <c r="E22" s="73"/>
      <c r="F22" s="74"/>
      <c r="G22" s="16"/>
      <c r="H22" s="1"/>
      <c r="I22" s="1"/>
      <c r="J22" s="19"/>
    </row>
    <row r="23" spans="1:10" x14ac:dyDescent="0.25">
      <c r="A23" s="1">
        <f t="shared" si="0"/>
        <v>21</v>
      </c>
      <c r="B23" s="1" t="s">
        <v>34</v>
      </c>
      <c r="C23" s="4"/>
      <c r="D23" s="53" t="s">
        <v>5</v>
      </c>
      <c r="E23" s="73"/>
      <c r="F23" s="74"/>
      <c r="G23" s="16"/>
      <c r="H23" s="1"/>
      <c r="I23" s="1"/>
      <c r="J23" s="19"/>
    </row>
    <row r="24" spans="1:10" x14ac:dyDescent="0.25">
      <c r="A24" s="1">
        <f t="shared" si="0"/>
        <v>22</v>
      </c>
      <c r="B24" s="1" t="s">
        <v>35</v>
      </c>
      <c r="C24" s="4"/>
      <c r="D24" s="53" t="s">
        <v>5</v>
      </c>
      <c r="E24" s="73"/>
      <c r="F24" s="74"/>
      <c r="G24" s="16"/>
      <c r="H24" s="1"/>
      <c r="I24" s="1"/>
      <c r="J24" s="19"/>
    </row>
    <row r="25" spans="1:10" x14ac:dyDescent="0.25">
      <c r="A25" s="1">
        <f t="shared" si="0"/>
        <v>23</v>
      </c>
      <c r="B25" s="1" t="s">
        <v>36</v>
      </c>
      <c r="C25" s="4"/>
      <c r="D25" s="53" t="s">
        <v>5</v>
      </c>
      <c r="E25" s="73"/>
      <c r="F25" s="74"/>
      <c r="G25" s="16"/>
      <c r="H25" s="1"/>
      <c r="I25" s="1"/>
      <c r="J25" s="19"/>
    </row>
    <row r="26" spans="1:10" x14ac:dyDescent="0.25">
      <c r="A26" s="1">
        <f t="shared" si="0"/>
        <v>24</v>
      </c>
      <c r="B26" s="1" t="s">
        <v>37</v>
      </c>
      <c r="C26" s="4"/>
      <c r="D26" s="53" t="s">
        <v>5</v>
      </c>
      <c r="E26" s="73"/>
      <c r="F26" s="74"/>
      <c r="G26" s="16"/>
      <c r="H26" s="1"/>
      <c r="I26" s="1"/>
      <c r="J26" s="19"/>
    </row>
    <row r="27" spans="1:10" x14ac:dyDescent="0.25">
      <c r="A27" s="1">
        <f t="shared" si="0"/>
        <v>25</v>
      </c>
      <c r="B27" s="1" t="s">
        <v>38</v>
      </c>
      <c r="C27" s="4"/>
      <c r="D27" s="53" t="s">
        <v>5</v>
      </c>
      <c r="E27" s="73"/>
      <c r="F27" s="74"/>
      <c r="G27" s="16"/>
      <c r="H27" s="1"/>
      <c r="I27" s="1"/>
      <c r="J27" s="19"/>
    </row>
    <row r="28" spans="1:10" x14ac:dyDescent="0.25">
      <c r="A28" s="1">
        <f t="shared" si="0"/>
        <v>26</v>
      </c>
      <c r="B28" s="1" t="s">
        <v>39</v>
      </c>
      <c r="C28" s="4"/>
      <c r="D28" s="53" t="s">
        <v>5</v>
      </c>
      <c r="E28" s="73"/>
      <c r="F28" s="74"/>
      <c r="G28" s="16"/>
      <c r="H28" s="1"/>
      <c r="I28" s="1"/>
      <c r="J28" s="19"/>
    </row>
    <row r="29" spans="1:10" x14ac:dyDescent="0.25">
      <c r="A29" s="1">
        <f t="shared" si="0"/>
        <v>27</v>
      </c>
      <c r="B29" s="1" t="s">
        <v>40</v>
      </c>
      <c r="C29" s="4"/>
      <c r="D29" s="53" t="s">
        <v>5</v>
      </c>
      <c r="E29" s="73"/>
      <c r="F29" s="74"/>
      <c r="G29" s="16"/>
      <c r="H29" s="1"/>
      <c r="I29" s="1"/>
      <c r="J29" s="19"/>
    </row>
    <row r="30" spans="1:10" x14ac:dyDescent="0.25">
      <c r="A30" s="1">
        <f t="shared" si="0"/>
        <v>28</v>
      </c>
      <c r="B30" s="1" t="s">
        <v>41</v>
      </c>
      <c r="C30" s="4"/>
      <c r="D30" s="53" t="s">
        <v>5</v>
      </c>
      <c r="E30" s="73"/>
      <c r="F30" s="74"/>
      <c r="G30" s="16"/>
      <c r="H30" s="1"/>
      <c r="I30" s="1"/>
      <c r="J30" s="19"/>
    </row>
    <row r="31" spans="1:10" x14ac:dyDescent="0.25">
      <c r="A31" s="1">
        <f t="shared" si="0"/>
        <v>29</v>
      </c>
      <c r="B31" s="1" t="s">
        <v>42</v>
      </c>
      <c r="C31" s="4"/>
      <c r="D31" s="53" t="s">
        <v>5</v>
      </c>
      <c r="E31" s="73"/>
      <c r="F31" s="74"/>
      <c r="G31" s="16"/>
      <c r="H31" s="1"/>
      <c r="I31" s="1"/>
      <c r="J31" s="19"/>
    </row>
    <row r="32" spans="1:10" x14ac:dyDescent="0.25">
      <c r="A32" s="1">
        <f t="shared" si="0"/>
        <v>30</v>
      </c>
      <c r="B32" s="1" t="s">
        <v>43</v>
      </c>
      <c r="C32" s="4"/>
      <c r="D32" s="53" t="s">
        <v>5</v>
      </c>
      <c r="E32" s="73"/>
      <c r="F32" s="74"/>
      <c r="G32" s="16"/>
      <c r="H32" s="1"/>
      <c r="I32" s="1"/>
      <c r="J32" s="19"/>
    </row>
    <row r="33" spans="1:10" x14ac:dyDescent="0.25">
      <c r="A33" s="1">
        <f t="shared" si="0"/>
        <v>31</v>
      </c>
      <c r="B33" s="1" t="s">
        <v>44</v>
      </c>
      <c r="C33" s="4"/>
      <c r="D33" s="53" t="s">
        <v>5</v>
      </c>
      <c r="E33" s="73"/>
      <c r="F33" s="74"/>
      <c r="G33" s="16"/>
      <c r="H33" s="1"/>
      <c r="I33" s="1"/>
      <c r="J33" s="19"/>
    </row>
    <row r="34" spans="1:10" x14ac:dyDescent="0.25">
      <c r="A34" s="1">
        <f t="shared" si="0"/>
        <v>32</v>
      </c>
      <c r="B34" s="1" t="s">
        <v>45</v>
      </c>
      <c r="C34" s="4"/>
      <c r="D34" s="53" t="s">
        <v>5</v>
      </c>
      <c r="E34" s="73"/>
      <c r="F34" s="74"/>
      <c r="G34" s="16"/>
      <c r="H34" s="1"/>
      <c r="I34" s="1"/>
      <c r="J34" s="19"/>
    </row>
    <row r="35" spans="1:10" x14ac:dyDescent="0.25">
      <c r="A35" s="1">
        <f t="shared" si="0"/>
        <v>33</v>
      </c>
      <c r="B35" s="1" t="s">
        <v>46</v>
      </c>
      <c r="C35" s="4"/>
      <c r="D35" s="53" t="s">
        <v>5</v>
      </c>
      <c r="E35" s="73"/>
      <c r="F35" s="74"/>
      <c r="G35" s="16"/>
      <c r="H35" s="1"/>
      <c r="I35" s="1"/>
      <c r="J35" s="19"/>
    </row>
    <row r="36" spans="1:10" x14ac:dyDescent="0.25">
      <c r="A36" s="1">
        <f t="shared" si="0"/>
        <v>34</v>
      </c>
      <c r="B36" s="1" t="s">
        <v>47</v>
      </c>
      <c r="C36" s="4"/>
      <c r="D36" s="53" t="s">
        <v>5</v>
      </c>
      <c r="E36" s="73"/>
      <c r="F36" s="74"/>
      <c r="G36" s="16"/>
      <c r="H36" s="1"/>
      <c r="I36" s="1"/>
      <c r="J36" s="19"/>
    </row>
    <row r="37" spans="1:10" x14ac:dyDescent="0.25">
      <c r="A37" s="1">
        <f t="shared" si="0"/>
        <v>35</v>
      </c>
      <c r="B37" s="1" t="s">
        <v>48</v>
      </c>
      <c r="C37" s="4"/>
      <c r="D37" s="53" t="s">
        <v>5</v>
      </c>
      <c r="E37" s="73"/>
      <c r="F37" s="74"/>
      <c r="G37" s="16"/>
      <c r="H37" s="1"/>
      <c r="I37" s="1"/>
      <c r="J37" s="19"/>
    </row>
    <row r="38" spans="1:10" x14ac:dyDescent="0.25">
      <c r="A38" s="1">
        <f t="shared" si="0"/>
        <v>36</v>
      </c>
      <c r="B38" s="1" t="s">
        <v>49</v>
      </c>
      <c r="C38" s="4"/>
      <c r="D38" s="53" t="s">
        <v>5</v>
      </c>
      <c r="E38" s="73"/>
      <c r="F38" s="74"/>
      <c r="G38" s="16"/>
      <c r="H38" s="1"/>
      <c r="I38" s="1"/>
      <c r="J38" s="19"/>
    </row>
    <row r="39" spans="1:10" x14ac:dyDescent="0.25">
      <c r="A39" s="1">
        <f t="shared" si="0"/>
        <v>37</v>
      </c>
      <c r="B39" s="1" t="s">
        <v>50</v>
      </c>
      <c r="C39" s="4"/>
      <c r="D39" s="53" t="s">
        <v>5</v>
      </c>
      <c r="E39" s="73"/>
      <c r="F39" s="74"/>
      <c r="G39" s="16"/>
      <c r="H39" s="1"/>
      <c r="I39" s="1"/>
      <c r="J39" s="19"/>
    </row>
    <row r="40" spans="1:10" x14ac:dyDescent="0.25">
      <c r="A40" s="1">
        <f t="shared" si="0"/>
        <v>38</v>
      </c>
      <c r="B40" s="3" t="s">
        <v>51</v>
      </c>
      <c r="C40" s="5"/>
      <c r="D40" s="54" t="s">
        <v>5</v>
      </c>
      <c r="E40" s="73"/>
      <c r="F40" s="74"/>
      <c r="G40" s="16"/>
      <c r="H40" s="1"/>
      <c r="I40" s="1"/>
      <c r="J40" s="19"/>
    </row>
    <row r="41" spans="1:10" x14ac:dyDescent="0.25">
      <c r="A41" s="1">
        <f t="shared" si="0"/>
        <v>39</v>
      </c>
      <c r="B41" s="1" t="s">
        <v>52</v>
      </c>
      <c r="C41" s="4"/>
      <c r="D41" s="53" t="s">
        <v>5</v>
      </c>
      <c r="E41" s="73"/>
      <c r="F41" s="74"/>
      <c r="G41" s="16"/>
      <c r="H41" s="1"/>
      <c r="I41" s="1"/>
      <c r="J41" s="19"/>
    </row>
    <row r="42" spans="1:10" x14ac:dyDescent="0.25">
      <c r="A42" s="1">
        <f t="shared" si="0"/>
        <v>40</v>
      </c>
      <c r="B42" s="1" t="s">
        <v>53</v>
      </c>
      <c r="C42" s="4"/>
      <c r="D42" s="53" t="s">
        <v>5</v>
      </c>
      <c r="E42" s="73"/>
      <c r="F42" s="74"/>
      <c r="G42" s="16"/>
      <c r="H42" s="1"/>
      <c r="I42" s="1"/>
      <c r="J42" s="19"/>
    </row>
    <row r="43" spans="1:10" x14ac:dyDescent="0.25">
      <c r="A43" s="1">
        <f t="shared" si="0"/>
        <v>41</v>
      </c>
      <c r="B43" s="1" t="s">
        <v>54</v>
      </c>
      <c r="C43" s="4"/>
      <c r="D43" s="53" t="s">
        <v>5</v>
      </c>
      <c r="E43" s="73"/>
      <c r="F43" s="74"/>
      <c r="G43" s="16"/>
      <c r="H43" s="1"/>
      <c r="I43" s="1"/>
      <c r="J43" s="19"/>
    </row>
    <row r="44" spans="1:10" x14ac:dyDescent="0.25">
      <c r="A44" s="1">
        <f t="shared" si="0"/>
        <v>42</v>
      </c>
      <c r="B44" s="1" t="s">
        <v>55</v>
      </c>
      <c r="C44" s="4"/>
      <c r="D44" s="53" t="s">
        <v>5</v>
      </c>
      <c r="E44" s="73"/>
      <c r="F44" s="74"/>
      <c r="G44" s="16"/>
      <c r="H44" s="1"/>
      <c r="I44" s="1"/>
      <c r="J44" s="19"/>
    </row>
    <row r="45" spans="1:10" x14ac:dyDescent="0.25">
      <c r="A45" s="1">
        <f t="shared" si="0"/>
        <v>43</v>
      </c>
      <c r="B45" s="1" t="s">
        <v>56</v>
      </c>
      <c r="C45" s="4"/>
      <c r="D45" s="53" t="s">
        <v>5</v>
      </c>
      <c r="E45" s="73"/>
      <c r="F45" s="74"/>
      <c r="G45" s="16"/>
      <c r="H45" s="1"/>
      <c r="I45" s="1"/>
      <c r="J45" s="19"/>
    </row>
    <row r="46" spans="1:10" x14ac:dyDescent="0.25">
      <c r="A46" s="1">
        <f t="shared" si="0"/>
        <v>44</v>
      </c>
      <c r="B46" s="1" t="s">
        <v>57</v>
      </c>
      <c r="C46" s="4"/>
      <c r="D46" s="53" t="s">
        <v>5</v>
      </c>
      <c r="E46" s="73"/>
      <c r="F46" s="74"/>
      <c r="G46" s="16"/>
      <c r="H46" s="1"/>
      <c r="I46" s="1"/>
      <c r="J46" s="19"/>
    </row>
    <row r="47" spans="1:10" x14ac:dyDescent="0.25">
      <c r="A47" s="1">
        <f t="shared" si="0"/>
        <v>45</v>
      </c>
      <c r="B47" s="1" t="s">
        <v>58</v>
      </c>
      <c r="C47" s="4"/>
      <c r="D47" s="53" t="s">
        <v>5</v>
      </c>
      <c r="E47" s="73"/>
      <c r="F47" s="74"/>
      <c r="G47" s="16"/>
      <c r="H47" s="1"/>
      <c r="I47" s="1"/>
      <c r="J47" s="19"/>
    </row>
    <row r="48" spans="1:10" x14ac:dyDescent="0.25">
      <c r="A48" s="1">
        <f t="shared" si="0"/>
        <v>46</v>
      </c>
      <c r="B48" s="1" t="s">
        <v>59</v>
      </c>
      <c r="C48" s="4"/>
      <c r="D48" s="53" t="s">
        <v>5</v>
      </c>
      <c r="E48" s="73"/>
      <c r="F48" s="74"/>
      <c r="G48" s="16"/>
      <c r="H48" s="1"/>
      <c r="I48" s="1"/>
      <c r="J48" s="19"/>
    </row>
    <row r="49" spans="1:10" x14ac:dyDescent="0.25">
      <c r="A49" s="1">
        <f t="shared" si="0"/>
        <v>47</v>
      </c>
      <c r="B49" s="1" t="s">
        <v>40</v>
      </c>
      <c r="C49" s="4"/>
      <c r="D49" s="53" t="s">
        <v>5</v>
      </c>
      <c r="E49" s="73"/>
      <c r="F49" s="74"/>
      <c r="G49" s="16"/>
      <c r="H49" s="1"/>
      <c r="I49" s="1"/>
      <c r="J49" s="19"/>
    </row>
    <row r="50" spans="1:10" x14ac:dyDescent="0.25">
      <c r="A50" s="1">
        <f t="shared" si="0"/>
        <v>48</v>
      </c>
      <c r="B50" s="1" t="s">
        <v>60</v>
      </c>
      <c r="C50" s="4"/>
      <c r="D50" s="53" t="s">
        <v>5</v>
      </c>
      <c r="E50" s="73"/>
      <c r="F50" s="74"/>
      <c r="G50" s="16"/>
      <c r="H50" s="1"/>
      <c r="I50" s="1"/>
      <c r="J50" s="19"/>
    </row>
    <row r="51" spans="1:10" x14ac:dyDescent="0.25">
      <c r="A51" s="1">
        <f t="shared" si="0"/>
        <v>49</v>
      </c>
      <c r="B51" s="1" t="s">
        <v>61</v>
      </c>
      <c r="C51" s="4"/>
      <c r="D51" s="53" t="s">
        <v>5</v>
      </c>
      <c r="E51" s="73"/>
      <c r="F51" s="74"/>
      <c r="G51" s="16"/>
      <c r="H51" s="1"/>
      <c r="I51" s="1"/>
      <c r="J51" s="19"/>
    </row>
    <row r="52" spans="1:10" x14ac:dyDescent="0.25">
      <c r="A52" s="1">
        <f t="shared" si="0"/>
        <v>50</v>
      </c>
      <c r="B52" s="3" t="s">
        <v>62</v>
      </c>
      <c r="C52" s="5"/>
      <c r="D52" s="54" t="s">
        <v>5</v>
      </c>
      <c r="E52" s="73"/>
      <c r="F52" s="74"/>
      <c r="G52" s="16"/>
      <c r="H52" s="1"/>
      <c r="I52" s="1"/>
      <c r="J52" s="19"/>
    </row>
    <row r="53" spans="1:10" x14ac:dyDescent="0.25">
      <c r="A53" s="1">
        <f t="shared" si="0"/>
        <v>51</v>
      </c>
      <c r="B53" s="1" t="s">
        <v>63</v>
      </c>
      <c r="C53" s="4"/>
      <c r="D53" s="53" t="s">
        <v>5</v>
      </c>
      <c r="E53" s="73"/>
      <c r="F53" s="74"/>
      <c r="G53" s="16"/>
      <c r="H53" s="1"/>
      <c r="I53" s="1"/>
      <c r="J53" s="19"/>
    </row>
    <row r="54" spans="1:10" x14ac:dyDescent="0.25">
      <c r="A54" s="1">
        <f t="shared" si="0"/>
        <v>52</v>
      </c>
      <c r="B54" s="1" t="s">
        <v>64</v>
      </c>
      <c r="C54" s="4"/>
      <c r="D54" s="53" t="s">
        <v>5</v>
      </c>
      <c r="E54" s="73"/>
      <c r="F54" s="74"/>
      <c r="G54" s="16"/>
      <c r="H54" s="1"/>
      <c r="I54" s="1"/>
      <c r="J54" s="19"/>
    </row>
    <row r="55" spans="1:10" x14ac:dyDescent="0.25">
      <c r="A55" s="1">
        <f t="shared" si="0"/>
        <v>53</v>
      </c>
      <c r="B55" s="1" t="s">
        <v>65</v>
      </c>
      <c r="C55" s="4"/>
      <c r="D55" s="53" t="s">
        <v>5</v>
      </c>
      <c r="E55" s="73"/>
      <c r="F55" s="74"/>
      <c r="G55" s="16"/>
      <c r="H55" s="1"/>
      <c r="I55" s="1"/>
      <c r="J55" s="19"/>
    </row>
    <row r="56" spans="1:10" x14ac:dyDescent="0.25">
      <c r="A56" s="1">
        <f t="shared" si="0"/>
        <v>54</v>
      </c>
      <c r="B56" s="1" t="s">
        <v>66</v>
      </c>
      <c r="C56" s="4"/>
      <c r="D56" s="53" t="s">
        <v>5</v>
      </c>
      <c r="E56" s="73"/>
      <c r="F56" s="74"/>
      <c r="G56" s="16"/>
      <c r="H56" s="1"/>
      <c r="I56" s="1"/>
      <c r="J56" s="19"/>
    </row>
    <row r="57" spans="1:10" x14ac:dyDescent="0.25">
      <c r="A57" s="1">
        <f t="shared" si="0"/>
        <v>55</v>
      </c>
      <c r="B57" s="1" t="s">
        <v>67</v>
      </c>
      <c r="C57" s="4"/>
      <c r="D57" s="53" t="s">
        <v>5</v>
      </c>
      <c r="E57" s="73"/>
      <c r="F57" s="74"/>
      <c r="G57" s="16"/>
      <c r="H57" s="1"/>
      <c r="I57" s="1"/>
      <c r="J57" s="19"/>
    </row>
    <row r="58" spans="1:10" x14ac:dyDescent="0.25">
      <c r="A58" s="1">
        <f t="shared" si="0"/>
        <v>56</v>
      </c>
      <c r="B58" s="1" t="s">
        <v>68</v>
      </c>
      <c r="C58" s="4"/>
      <c r="D58" s="53" t="s">
        <v>5</v>
      </c>
      <c r="E58" s="73"/>
      <c r="F58" s="74"/>
      <c r="G58" s="16"/>
      <c r="H58" s="1"/>
      <c r="I58" s="1"/>
      <c r="J58" s="19"/>
    </row>
    <row r="59" spans="1:10" x14ac:dyDescent="0.25">
      <c r="A59" s="1">
        <f t="shared" si="0"/>
        <v>57</v>
      </c>
      <c r="B59" s="1" t="s">
        <v>69</v>
      </c>
      <c r="C59" s="4"/>
      <c r="D59" s="53" t="s">
        <v>5</v>
      </c>
      <c r="E59" s="73"/>
      <c r="F59" s="74"/>
      <c r="G59" s="16"/>
      <c r="H59" s="1"/>
      <c r="I59" s="1"/>
      <c r="J59" s="19"/>
    </row>
    <row r="60" spans="1:10" x14ac:dyDescent="0.25">
      <c r="A60" s="1">
        <f t="shared" si="0"/>
        <v>58</v>
      </c>
      <c r="B60" s="1" t="s">
        <v>70</v>
      </c>
      <c r="C60" s="4" t="s">
        <v>90</v>
      </c>
      <c r="D60" s="53" t="s">
        <v>5</v>
      </c>
      <c r="E60" s="73"/>
      <c r="F60" s="74"/>
      <c r="G60" s="16"/>
      <c r="H60" s="1"/>
      <c r="I60" s="1"/>
      <c r="J60" s="19"/>
    </row>
    <row r="61" spans="1:10" x14ac:dyDescent="0.25">
      <c r="A61" s="1">
        <f t="shared" si="0"/>
        <v>59</v>
      </c>
      <c r="B61" s="1" t="s">
        <v>71</v>
      </c>
      <c r="C61" s="4" t="s">
        <v>89</v>
      </c>
      <c r="D61" s="53" t="s">
        <v>5</v>
      </c>
      <c r="E61" s="73"/>
      <c r="F61" s="74"/>
      <c r="G61" s="16"/>
      <c r="H61" s="1"/>
      <c r="I61" s="1"/>
      <c r="J61" s="19"/>
    </row>
    <row r="62" spans="1:10" x14ac:dyDescent="0.25">
      <c r="A62" s="1">
        <f t="shared" si="0"/>
        <v>60</v>
      </c>
      <c r="B62" s="1" t="s">
        <v>72</v>
      </c>
      <c r="C62" s="4" t="s">
        <v>88</v>
      </c>
      <c r="D62" s="53" t="s">
        <v>5</v>
      </c>
      <c r="E62" s="73"/>
      <c r="F62" s="74"/>
      <c r="G62" s="16"/>
      <c r="H62" s="1"/>
      <c r="I62" s="1"/>
      <c r="J62" s="19"/>
    </row>
    <row r="63" spans="1:10" x14ac:dyDescent="0.25">
      <c r="A63" s="1">
        <f t="shared" si="0"/>
        <v>61</v>
      </c>
      <c r="B63" s="1" t="s">
        <v>73</v>
      </c>
      <c r="C63" s="4" t="s">
        <v>87</v>
      </c>
      <c r="D63" s="53" t="s">
        <v>5</v>
      </c>
      <c r="E63" s="73"/>
      <c r="F63" s="74"/>
      <c r="G63" s="16"/>
      <c r="H63" s="1"/>
      <c r="I63" s="1"/>
      <c r="J63" s="19"/>
    </row>
    <row r="64" spans="1:10" x14ac:dyDescent="0.25">
      <c r="A64" s="1">
        <f t="shared" si="0"/>
        <v>62</v>
      </c>
      <c r="B64" s="1" t="s">
        <v>74</v>
      </c>
      <c r="C64" s="4" t="s">
        <v>86</v>
      </c>
      <c r="D64" s="53" t="s">
        <v>5</v>
      </c>
      <c r="E64" s="73"/>
      <c r="F64" s="74"/>
      <c r="G64" s="16"/>
      <c r="H64" s="1"/>
      <c r="I64" s="1"/>
      <c r="J64" s="19"/>
    </row>
    <row r="65" spans="1:10" x14ac:dyDescent="0.25">
      <c r="A65" s="1">
        <f t="shared" si="0"/>
        <v>63</v>
      </c>
      <c r="B65" s="1" t="s">
        <v>84</v>
      </c>
      <c r="C65" s="4" t="s">
        <v>85</v>
      </c>
      <c r="D65" s="53" t="s">
        <v>5</v>
      </c>
      <c r="E65" s="73"/>
      <c r="F65" s="74"/>
      <c r="G65" s="16"/>
      <c r="H65" s="1"/>
      <c r="I65" s="1"/>
      <c r="J65" s="19"/>
    </row>
    <row r="66" spans="1:10" x14ac:dyDescent="0.25">
      <c r="A66" s="1">
        <f t="shared" si="0"/>
        <v>64</v>
      </c>
      <c r="B66" s="1" t="s">
        <v>75</v>
      </c>
      <c r="C66" s="4" t="s">
        <v>83</v>
      </c>
      <c r="D66" s="53" t="s">
        <v>5</v>
      </c>
      <c r="E66" s="73"/>
      <c r="F66" s="74"/>
      <c r="G66" s="16"/>
      <c r="H66" s="1"/>
      <c r="I66" s="1"/>
      <c r="J66" s="19"/>
    </row>
    <row r="67" spans="1:10" x14ac:dyDescent="0.25">
      <c r="A67" s="1">
        <f t="shared" si="0"/>
        <v>65</v>
      </c>
      <c r="B67" s="1" t="s">
        <v>76</v>
      </c>
      <c r="C67" s="4" t="s">
        <v>82</v>
      </c>
      <c r="D67" s="53" t="s">
        <v>5</v>
      </c>
      <c r="E67" s="73"/>
      <c r="F67" s="74"/>
      <c r="G67" s="16"/>
      <c r="H67" s="1"/>
      <c r="I67" s="1"/>
      <c r="J67" s="19"/>
    </row>
    <row r="68" spans="1:10" x14ac:dyDescent="0.25">
      <c r="A68" s="1">
        <f t="shared" si="0"/>
        <v>66</v>
      </c>
      <c r="B68" s="1" t="s">
        <v>77</v>
      </c>
      <c r="C68" s="4" t="s">
        <v>6</v>
      </c>
      <c r="D68" s="53" t="s">
        <v>5</v>
      </c>
      <c r="E68" s="73"/>
      <c r="F68" s="74"/>
      <c r="G68" s="16"/>
      <c r="H68" s="1"/>
      <c r="I68" s="1"/>
      <c r="J68" s="19"/>
    </row>
    <row r="69" spans="1:10" x14ac:dyDescent="0.25">
      <c r="A69" s="1">
        <f>A68+1</f>
        <v>67</v>
      </c>
      <c r="B69" s="1" t="s">
        <v>78</v>
      </c>
      <c r="C69" s="4" t="s">
        <v>79</v>
      </c>
      <c r="D69" s="53" t="s">
        <v>5</v>
      </c>
      <c r="E69" s="73"/>
      <c r="F69" s="74"/>
      <c r="G69" s="16"/>
      <c r="H69" s="1"/>
      <c r="I69" s="1"/>
      <c r="J69" s="19"/>
    </row>
    <row r="70" spans="1:10" x14ac:dyDescent="0.25">
      <c r="A70" s="1">
        <f>A69+1</f>
        <v>68</v>
      </c>
      <c r="B70" s="1" t="s">
        <v>80</v>
      </c>
      <c r="C70" s="4" t="s">
        <v>81</v>
      </c>
      <c r="D70" s="53" t="s">
        <v>5</v>
      </c>
      <c r="E70" s="73"/>
      <c r="F70" s="74"/>
      <c r="G70" s="16"/>
      <c r="H70" s="1"/>
      <c r="I70" s="1"/>
      <c r="J70" s="19"/>
    </row>
    <row r="71" spans="1:10" x14ac:dyDescent="0.25">
      <c r="A71" s="1">
        <f>A204+1</f>
        <v>70</v>
      </c>
      <c r="B71" s="1"/>
      <c r="C71" s="4"/>
      <c r="D71" s="53" t="s">
        <v>5</v>
      </c>
      <c r="E71" s="73"/>
      <c r="F71" s="74"/>
      <c r="G71" s="16"/>
      <c r="H71" s="1"/>
      <c r="I71" s="1"/>
      <c r="J71" s="19"/>
    </row>
    <row r="72" spans="1:10" ht="15.75" thickBot="1" x14ac:dyDescent="0.3">
      <c r="A72" s="13">
        <f>A71+1</f>
        <v>71</v>
      </c>
      <c r="B72" s="8"/>
      <c r="C72" s="2"/>
      <c r="D72" s="55" t="s">
        <v>5</v>
      </c>
      <c r="E72" s="73"/>
      <c r="F72" s="75"/>
      <c r="G72" s="61"/>
      <c r="H72" s="13"/>
      <c r="I72" s="13"/>
      <c r="J72" s="24"/>
    </row>
    <row r="73" spans="1:10" ht="15.75" thickBot="1" x14ac:dyDescent="0.3">
      <c r="A73" s="64" t="s">
        <v>3</v>
      </c>
      <c r="B73" s="63" t="s">
        <v>0</v>
      </c>
      <c r="C73" s="65" t="s">
        <v>1</v>
      </c>
      <c r="D73" s="14" t="s">
        <v>2</v>
      </c>
      <c r="E73" s="76"/>
      <c r="F73" s="77"/>
      <c r="G73" s="11"/>
      <c r="H73" s="66"/>
      <c r="I73" s="66"/>
      <c r="J73" s="67"/>
    </row>
    <row r="74" spans="1:10" x14ac:dyDescent="0.25">
      <c r="A74" s="3">
        <v>1</v>
      </c>
      <c r="B74" s="56" t="s">
        <v>102</v>
      </c>
      <c r="C74" s="57" t="s">
        <v>103</v>
      </c>
      <c r="D74" s="54" t="s">
        <v>334</v>
      </c>
      <c r="E74" s="73"/>
      <c r="F74" s="78"/>
      <c r="G74" s="62"/>
      <c r="H74" s="3"/>
      <c r="I74" s="3"/>
      <c r="J74" s="23"/>
    </row>
    <row r="75" spans="1:10" x14ac:dyDescent="0.25">
      <c r="A75" s="1">
        <f t="shared" ref="A75:A138" si="1">A74+1</f>
        <v>2</v>
      </c>
      <c r="B75" s="31" t="s">
        <v>104</v>
      </c>
      <c r="C75" s="58"/>
      <c r="D75" s="53" t="s">
        <v>334</v>
      </c>
      <c r="E75" s="73"/>
      <c r="F75" s="74"/>
      <c r="G75" s="16"/>
      <c r="H75" s="1"/>
      <c r="I75" s="1"/>
      <c r="J75" s="19"/>
    </row>
    <row r="76" spans="1:10" x14ac:dyDescent="0.25">
      <c r="A76" s="1">
        <f t="shared" si="1"/>
        <v>3</v>
      </c>
      <c r="B76" s="31" t="s">
        <v>105</v>
      </c>
      <c r="C76" s="58" t="s">
        <v>106</v>
      </c>
      <c r="D76" s="53" t="s">
        <v>335</v>
      </c>
      <c r="E76" s="73"/>
      <c r="F76" s="74"/>
      <c r="G76" s="16"/>
      <c r="H76" s="1"/>
      <c r="I76" s="1"/>
      <c r="J76" s="19"/>
    </row>
    <row r="77" spans="1:10" x14ac:dyDescent="0.25">
      <c r="A77" s="1">
        <f t="shared" si="1"/>
        <v>4</v>
      </c>
      <c r="B77" s="31" t="s">
        <v>107</v>
      </c>
      <c r="C77" s="58"/>
      <c r="D77" s="53" t="s">
        <v>335</v>
      </c>
      <c r="E77" s="73"/>
      <c r="F77" s="74"/>
      <c r="G77" s="16"/>
      <c r="H77" s="1"/>
      <c r="I77" s="1"/>
      <c r="J77" s="19"/>
    </row>
    <row r="78" spans="1:10" x14ac:dyDescent="0.25">
      <c r="A78" s="1">
        <f t="shared" si="1"/>
        <v>5</v>
      </c>
      <c r="B78" s="31" t="s">
        <v>108</v>
      </c>
      <c r="C78" s="58" t="s">
        <v>111</v>
      </c>
      <c r="D78" s="53" t="s">
        <v>334</v>
      </c>
      <c r="E78" s="73"/>
      <c r="F78" s="74"/>
      <c r="G78" s="16"/>
      <c r="H78" s="1"/>
      <c r="I78" s="1"/>
      <c r="J78" s="19"/>
    </row>
    <row r="79" spans="1:10" x14ac:dyDescent="0.25">
      <c r="A79" s="1">
        <f t="shared" si="1"/>
        <v>6</v>
      </c>
      <c r="B79" s="31" t="s">
        <v>109</v>
      </c>
      <c r="C79" s="58" t="s">
        <v>110</v>
      </c>
      <c r="D79" s="53" t="s">
        <v>334</v>
      </c>
      <c r="E79" s="73"/>
      <c r="F79" s="74"/>
      <c r="G79" s="16"/>
      <c r="H79" s="1"/>
      <c r="I79" s="1"/>
      <c r="J79" s="19"/>
    </row>
    <row r="80" spans="1:10" x14ac:dyDescent="0.25">
      <c r="A80" s="1">
        <f t="shared" si="1"/>
        <v>7</v>
      </c>
      <c r="B80" s="31" t="s">
        <v>112</v>
      </c>
      <c r="C80" s="58" t="s">
        <v>113</v>
      </c>
      <c r="D80" s="53" t="s">
        <v>335</v>
      </c>
      <c r="E80" s="73"/>
      <c r="F80" s="74"/>
      <c r="G80" s="16"/>
      <c r="H80" s="1"/>
      <c r="I80" s="1"/>
      <c r="J80" s="19"/>
    </row>
    <row r="81" spans="1:10" x14ac:dyDescent="0.25">
      <c r="A81" s="1">
        <f t="shared" si="1"/>
        <v>8</v>
      </c>
      <c r="B81" s="31" t="s">
        <v>114</v>
      </c>
      <c r="C81" s="58" t="s">
        <v>115</v>
      </c>
      <c r="D81" s="53" t="s">
        <v>335</v>
      </c>
      <c r="E81" s="73"/>
      <c r="F81" s="74"/>
      <c r="G81" s="16"/>
      <c r="H81" s="1"/>
      <c r="I81" s="1"/>
      <c r="J81" s="19"/>
    </row>
    <row r="82" spans="1:10" x14ac:dyDescent="0.25">
      <c r="A82" s="1">
        <f t="shared" si="1"/>
        <v>9</v>
      </c>
      <c r="B82" s="31" t="s">
        <v>116</v>
      </c>
      <c r="C82" s="58" t="s">
        <v>106</v>
      </c>
      <c r="D82" s="53" t="s">
        <v>334</v>
      </c>
      <c r="E82" s="73"/>
      <c r="F82" s="74"/>
      <c r="G82" s="16"/>
      <c r="H82" s="1"/>
      <c r="I82" s="1"/>
      <c r="J82" s="19"/>
    </row>
    <row r="83" spans="1:10" x14ac:dyDescent="0.25">
      <c r="A83" s="1">
        <f t="shared" si="1"/>
        <v>10</v>
      </c>
      <c r="B83" s="31" t="s">
        <v>117</v>
      </c>
      <c r="C83" s="58" t="s">
        <v>118</v>
      </c>
      <c r="D83" s="53" t="s">
        <v>335</v>
      </c>
      <c r="E83" s="73"/>
      <c r="F83" s="74"/>
      <c r="G83" s="16"/>
      <c r="H83" s="1"/>
      <c r="I83" s="1"/>
      <c r="J83" s="19"/>
    </row>
    <row r="84" spans="1:10" x14ac:dyDescent="0.25">
      <c r="A84" s="1">
        <f t="shared" si="1"/>
        <v>11</v>
      </c>
      <c r="B84" s="31" t="s">
        <v>119</v>
      </c>
      <c r="C84" s="58" t="s">
        <v>120</v>
      </c>
      <c r="D84" s="53" t="s">
        <v>335</v>
      </c>
      <c r="E84" s="73"/>
      <c r="F84" s="74"/>
      <c r="G84" s="16"/>
      <c r="H84" s="1"/>
      <c r="I84" s="1"/>
      <c r="J84" s="19"/>
    </row>
    <row r="85" spans="1:10" x14ac:dyDescent="0.25">
      <c r="A85" s="1">
        <f t="shared" si="1"/>
        <v>12</v>
      </c>
      <c r="B85" s="31" t="s">
        <v>121</v>
      </c>
      <c r="C85" s="58" t="s">
        <v>122</v>
      </c>
      <c r="D85" s="53" t="s">
        <v>335</v>
      </c>
      <c r="E85" s="73"/>
      <c r="F85" s="74"/>
      <c r="G85" s="16"/>
      <c r="H85" s="1"/>
      <c r="I85" s="1"/>
      <c r="J85" s="19"/>
    </row>
    <row r="86" spans="1:10" x14ac:dyDescent="0.25">
      <c r="A86" s="1">
        <f t="shared" si="1"/>
        <v>13</v>
      </c>
      <c r="B86" s="31" t="s">
        <v>123</v>
      </c>
      <c r="C86" s="58" t="s">
        <v>124</v>
      </c>
      <c r="D86" s="53" t="s">
        <v>335</v>
      </c>
      <c r="E86" s="73"/>
      <c r="F86" s="74"/>
      <c r="G86" s="16"/>
      <c r="H86" s="1"/>
      <c r="I86" s="1"/>
      <c r="J86" s="19"/>
    </row>
    <row r="87" spans="1:10" x14ac:dyDescent="0.25">
      <c r="A87" s="1">
        <f t="shared" si="1"/>
        <v>14</v>
      </c>
      <c r="B87" s="31" t="s">
        <v>125</v>
      </c>
      <c r="C87" s="58" t="s">
        <v>126</v>
      </c>
      <c r="D87" s="53" t="s">
        <v>335</v>
      </c>
      <c r="E87" s="73"/>
      <c r="F87" s="74"/>
      <c r="G87" s="16"/>
      <c r="H87" s="1"/>
      <c r="I87" s="1"/>
      <c r="J87" s="19"/>
    </row>
    <row r="88" spans="1:10" x14ac:dyDescent="0.25">
      <c r="A88" s="1">
        <f t="shared" si="1"/>
        <v>15</v>
      </c>
      <c r="B88" s="31" t="s">
        <v>127</v>
      </c>
      <c r="C88" s="58" t="s">
        <v>128</v>
      </c>
      <c r="D88" s="53" t="s">
        <v>335</v>
      </c>
      <c r="E88" s="73"/>
      <c r="F88" s="74"/>
      <c r="G88" s="16"/>
      <c r="H88" s="1"/>
      <c r="I88" s="1"/>
      <c r="J88" s="19"/>
    </row>
    <row r="89" spans="1:10" x14ac:dyDescent="0.25">
      <c r="A89" s="1">
        <f t="shared" si="1"/>
        <v>16</v>
      </c>
      <c r="B89" s="31" t="s">
        <v>129</v>
      </c>
      <c r="C89" s="58" t="s">
        <v>130</v>
      </c>
      <c r="D89" s="53" t="s">
        <v>335</v>
      </c>
      <c r="E89" s="73"/>
      <c r="F89" s="74"/>
      <c r="G89" s="16"/>
      <c r="H89" s="1"/>
      <c r="I89" s="1"/>
      <c r="J89" s="19"/>
    </row>
    <row r="90" spans="1:10" x14ac:dyDescent="0.25">
      <c r="A90" s="1">
        <f t="shared" si="1"/>
        <v>17</v>
      </c>
      <c r="B90" s="31" t="s">
        <v>131</v>
      </c>
      <c r="C90" s="58" t="s">
        <v>132</v>
      </c>
      <c r="D90" s="53" t="s">
        <v>335</v>
      </c>
      <c r="E90" s="73"/>
      <c r="F90" s="74"/>
      <c r="G90" s="16"/>
      <c r="H90" s="1"/>
      <c r="I90" s="1"/>
      <c r="J90" s="19"/>
    </row>
    <row r="91" spans="1:10" x14ac:dyDescent="0.25">
      <c r="A91" s="1">
        <f t="shared" si="1"/>
        <v>18</v>
      </c>
      <c r="B91" s="31" t="s">
        <v>133</v>
      </c>
      <c r="C91" s="58" t="s">
        <v>134</v>
      </c>
      <c r="D91" s="53" t="s">
        <v>335</v>
      </c>
      <c r="E91" s="73"/>
      <c r="F91" s="74"/>
      <c r="G91" s="16"/>
      <c r="H91" s="1"/>
      <c r="I91" s="1"/>
      <c r="J91" s="19"/>
    </row>
    <row r="92" spans="1:10" x14ac:dyDescent="0.25">
      <c r="A92" s="1">
        <f t="shared" si="1"/>
        <v>19</v>
      </c>
      <c r="B92" s="31" t="s">
        <v>135</v>
      </c>
      <c r="C92" s="58" t="s">
        <v>136</v>
      </c>
      <c r="D92" s="53" t="s">
        <v>335</v>
      </c>
      <c r="E92" s="73"/>
      <c r="F92" s="74"/>
      <c r="G92" s="16"/>
      <c r="H92" s="1"/>
      <c r="I92" s="1"/>
      <c r="J92" s="19"/>
    </row>
    <row r="93" spans="1:10" x14ac:dyDescent="0.25">
      <c r="A93" s="1">
        <f t="shared" si="1"/>
        <v>20</v>
      </c>
      <c r="B93" s="31" t="s">
        <v>137</v>
      </c>
      <c r="C93" s="58" t="s">
        <v>138</v>
      </c>
      <c r="D93" s="53" t="s">
        <v>335</v>
      </c>
      <c r="E93" s="73"/>
      <c r="F93" s="74"/>
      <c r="G93" s="16"/>
      <c r="H93" s="1"/>
      <c r="I93" s="1"/>
      <c r="J93" s="19"/>
    </row>
    <row r="94" spans="1:10" x14ac:dyDescent="0.25">
      <c r="A94" s="1">
        <f t="shared" si="1"/>
        <v>21</v>
      </c>
      <c r="B94" s="31" t="s">
        <v>139</v>
      </c>
      <c r="C94" s="58" t="s">
        <v>140</v>
      </c>
      <c r="D94" s="53" t="s">
        <v>335</v>
      </c>
      <c r="E94" s="73"/>
      <c r="F94" s="74"/>
      <c r="G94" s="16"/>
      <c r="H94" s="1"/>
      <c r="I94" s="1"/>
      <c r="J94" s="19"/>
    </row>
    <row r="95" spans="1:10" x14ac:dyDescent="0.25">
      <c r="A95" s="1">
        <f t="shared" si="1"/>
        <v>22</v>
      </c>
      <c r="B95" s="31" t="s">
        <v>141</v>
      </c>
      <c r="C95" s="58" t="s">
        <v>142</v>
      </c>
      <c r="D95" s="53" t="s">
        <v>335</v>
      </c>
      <c r="E95" s="73"/>
      <c r="F95" s="74"/>
      <c r="G95" s="16"/>
      <c r="H95" s="1"/>
      <c r="I95" s="1"/>
      <c r="J95" s="19"/>
    </row>
    <row r="96" spans="1:10" x14ac:dyDescent="0.25">
      <c r="A96" s="1">
        <f t="shared" si="1"/>
        <v>23</v>
      </c>
      <c r="B96" s="31" t="s">
        <v>143</v>
      </c>
      <c r="C96" s="58" t="s">
        <v>144</v>
      </c>
      <c r="D96" s="53" t="s">
        <v>335</v>
      </c>
      <c r="E96" s="73"/>
      <c r="F96" s="74"/>
      <c r="G96" s="16"/>
      <c r="H96" s="1"/>
      <c r="I96" s="1"/>
      <c r="J96" s="19"/>
    </row>
    <row r="97" spans="1:10" x14ac:dyDescent="0.25">
      <c r="A97" s="1">
        <f t="shared" si="1"/>
        <v>24</v>
      </c>
      <c r="B97" s="31" t="s">
        <v>145</v>
      </c>
      <c r="C97" s="58" t="s">
        <v>146</v>
      </c>
      <c r="D97" s="53" t="s">
        <v>335</v>
      </c>
      <c r="E97" s="73"/>
      <c r="F97" s="74"/>
      <c r="G97" s="16"/>
      <c r="H97" s="1"/>
      <c r="I97" s="1"/>
      <c r="J97" s="19"/>
    </row>
    <row r="98" spans="1:10" x14ac:dyDescent="0.25">
      <c r="A98" s="1">
        <f t="shared" si="1"/>
        <v>25</v>
      </c>
      <c r="B98" s="31" t="s">
        <v>147</v>
      </c>
      <c r="C98" s="58" t="s">
        <v>148</v>
      </c>
      <c r="D98" s="53" t="s">
        <v>335</v>
      </c>
      <c r="E98" s="73"/>
      <c r="F98" s="74"/>
      <c r="G98" s="16"/>
      <c r="H98" s="1"/>
      <c r="I98" s="1"/>
      <c r="J98" s="19"/>
    </row>
    <row r="99" spans="1:10" x14ac:dyDescent="0.25">
      <c r="A99" s="1">
        <f t="shared" si="1"/>
        <v>26</v>
      </c>
      <c r="B99" s="31" t="s">
        <v>149</v>
      </c>
      <c r="C99" s="58" t="s">
        <v>150</v>
      </c>
      <c r="D99" s="53" t="s">
        <v>335</v>
      </c>
      <c r="E99" s="73"/>
      <c r="F99" s="74"/>
      <c r="G99" s="16"/>
      <c r="H99" s="1"/>
      <c r="I99" s="1"/>
      <c r="J99" s="19"/>
    </row>
    <row r="100" spans="1:10" x14ac:dyDescent="0.25">
      <c r="A100" s="1">
        <f t="shared" si="1"/>
        <v>27</v>
      </c>
      <c r="B100" s="31" t="s">
        <v>151</v>
      </c>
      <c r="C100" s="58" t="s">
        <v>152</v>
      </c>
      <c r="D100" s="53" t="s">
        <v>335</v>
      </c>
      <c r="E100" s="73"/>
      <c r="F100" s="74"/>
      <c r="G100" s="16"/>
      <c r="H100" s="1"/>
      <c r="I100" s="1"/>
      <c r="J100" s="19"/>
    </row>
    <row r="101" spans="1:10" x14ac:dyDescent="0.25">
      <c r="A101" s="1">
        <f t="shared" si="1"/>
        <v>28</v>
      </c>
      <c r="B101" s="31" t="s">
        <v>153</v>
      </c>
      <c r="C101" s="58" t="s">
        <v>154</v>
      </c>
      <c r="D101" s="53" t="s">
        <v>335</v>
      </c>
      <c r="E101" s="73"/>
      <c r="F101" s="74"/>
      <c r="G101" s="16"/>
      <c r="H101" s="1"/>
      <c r="I101" s="1"/>
      <c r="J101" s="19"/>
    </row>
    <row r="102" spans="1:10" x14ac:dyDescent="0.25">
      <c r="A102" s="1">
        <f t="shared" si="1"/>
        <v>29</v>
      </c>
      <c r="B102" s="31" t="s">
        <v>155</v>
      </c>
      <c r="C102" s="58" t="s">
        <v>156</v>
      </c>
      <c r="D102" s="53" t="s">
        <v>335</v>
      </c>
      <c r="E102" s="73"/>
      <c r="F102" s="74"/>
      <c r="G102" s="16"/>
      <c r="H102" s="1"/>
      <c r="I102" s="1"/>
      <c r="J102" s="19"/>
    </row>
    <row r="103" spans="1:10" x14ac:dyDescent="0.25">
      <c r="A103" s="1">
        <f t="shared" si="1"/>
        <v>30</v>
      </c>
      <c r="B103" s="31" t="s">
        <v>157</v>
      </c>
      <c r="C103" s="58" t="s">
        <v>158</v>
      </c>
      <c r="D103" s="53" t="s">
        <v>335</v>
      </c>
      <c r="E103" s="73"/>
      <c r="F103" s="74"/>
      <c r="G103" s="16"/>
      <c r="H103" s="1"/>
      <c r="I103" s="1"/>
      <c r="J103" s="19"/>
    </row>
    <row r="104" spans="1:10" x14ac:dyDescent="0.25">
      <c r="A104" s="1">
        <f t="shared" si="1"/>
        <v>31</v>
      </c>
      <c r="B104" s="31" t="s">
        <v>159</v>
      </c>
      <c r="C104" s="58" t="s">
        <v>160</v>
      </c>
      <c r="D104" s="53" t="s">
        <v>335</v>
      </c>
      <c r="E104" s="73"/>
      <c r="F104" s="74"/>
      <c r="G104" s="16"/>
      <c r="H104" s="1"/>
      <c r="I104" s="1"/>
      <c r="J104" s="19"/>
    </row>
    <row r="105" spans="1:10" x14ac:dyDescent="0.25">
      <c r="A105" s="1">
        <f t="shared" si="1"/>
        <v>32</v>
      </c>
      <c r="B105" s="56" t="s">
        <v>161</v>
      </c>
      <c r="C105" s="57" t="s">
        <v>162</v>
      </c>
      <c r="D105" s="53" t="s">
        <v>335</v>
      </c>
      <c r="E105" s="73"/>
      <c r="F105" s="74"/>
      <c r="G105" s="16"/>
      <c r="H105" s="1"/>
      <c r="I105" s="1"/>
      <c r="J105" s="19"/>
    </row>
    <row r="106" spans="1:10" x14ac:dyDescent="0.25">
      <c r="A106" s="1">
        <f t="shared" si="1"/>
        <v>33</v>
      </c>
      <c r="B106" s="31" t="s">
        <v>163</v>
      </c>
      <c r="C106" s="58" t="s">
        <v>164</v>
      </c>
      <c r="D106" s="53" t="s">
        <v>335</v>
      </c>
      <c r="E106" s="73"/>
      <c r="F106" s="74"/>
      <c r="G106" s="16"/>
      <c r="H106" s="1"/>
      <c r="I106" s="1"/>
      <c r="J106" s="19"/>
    </row>
    <row r="107" spans="1:10" x14ac:dyDescent="0.25">
      <c r="A107" s="1">
        <f t="shared" si="1"/>
        <v>34</v>
      </c>
      <c r="B107" s="31" t="s">
        <v>165</v>
      </c>
      <c r="C107" s="58" t="s">
        <v>166</v>
      </c>
      <c r="D107" s="53" t="s">
        <v>335</v>
      </c>
      <c r="E107" s="73"/>
      <c r="F107" s="74"/>
      <c r="G107" s="16"/>
      <c r="H107" s="1"/>
      <c r="I107" s="1"/>
      <c r="J107" s="19"/>
    </row>
    <row r="108" spans="1:10" x14ac:dyDescent="0.25">
      <c r="A108" s="1">
        <f t="shared" si="1"/>
        <v>35</v>
      </c>
      <c r="B108" s="31" t="s">
        <v>167</v>
      </c>
      <c r="C108" s="58" t="s">
        <v>168</v>
      </c>
      <c r="D108" s="53" t="s">
        <v>335</v>
      </c>
      <c r="E108" s="73"/>
      <c r="F108" s="74"/>
      <c r="G108" s="16"/>
      <c r="H108" s="1"/>
      <c r="I108" s="1"/>
      <c r="J108" s="19"/>
    </row>
    <row r="109" spans="1:10" x14ac:dyDescent="0.25">
      <c r="A109" s="1">
        <f t="shared" si="1"/>
        <v>36</v>
      </c>
      <c r="B109" s="31" t="s">
        <v>169</v>
      </c>
      <c r="C109" s="58" t="s">
        <v>170</v>
      </c>
      <c r="D109" s="53" t="s">
        <v>335</v>
      </c>
      <c r="E109" s="73"/>
      <c r="F109" s="74"/>
      <c r="G109" s="16"/>
      <c r="H109" s="1"/>
      <c r="I109" s="1"/>
      <c r="J109" s="19"/>
    </row>
    <row r="110" spans="1:10" x14ac:dyDescent="0.25">
      <c r="A110" s="1">
        <f t="shared" si="1"/>
        <v>37</v>
      </c>
      <c r="B110" s="31" t="s">
        <v>171</v>
      </c>
      <c r="C110" s="58" t="s">
        <v>172</v>
      </c>
      <c r="D110" s="53" t="s">
        <v>335</v>
      </c>
      <c r="E110" s="73"/>
      <c r="F110" s="74"/>
      <c r="G110" s="16"/>
      <c r="H110" s="1"/>
      <c r="I110" s="1"/>
      <c r="J110" s="19"/>
    </row>
    <row r="111" spans="1:10" x14ac:dyDescent="0.25">
      <c r="A111" s="1">
        <f t="shared" si="1"/>
        <v>38</v>
      </c>
      <c r="B111" s="31" t="s">
        <v>173</v>
      </c>
      <c r="C111" s="58" t="s">
        <v>174</v>
      </c>
      <c r="D111" s="53" t="s">
        <v>335</v>
      </c>
      <c r="E111" s="73"/>
      <c r="F111" s="74"/>
      <c r="G111" s="16"/>
      <c r="H111" s="1"/>
      <c r="I111" s="1"/>
      <c r="J111" s="19"/>
    </row>
    <row r="112" spans="1:10" x14ac:dyDescent="0.25">
      <c r="A112" s="1">
        <f t="shared" si="1"/>
        <v>39</v>
      </c>
      <c r="B112" s="31" t="s">
        <v>175</v>
      </c>
      <c r="C112" s="58" t="s">
        <v>176</v>
      </c>
      <c r="D112" s="53" t="s">
        <v>335</v>
      </c>
      <c r="E112" s="73"/>
      <c r="F112" s="74"/>
      <c r="G112" s="16"/>
      <c r="H112" s="1"/>
      <c r="I112" s="1"/>
      <c r="J112" s="19"/>
    </row>
    <row r="113" spans="1:10" x14ac:dyDescent="0.25">
      <c r="A113" s="1">
        <f t="shared" si="1"/>
        <v>40</v>
      </c>
      <c r="B113" s="31" t="s">
        <v>177</v>
      </c>
      <c r="C113" s="58" t="s">
        <v>178</v>
      </c>
      <c r="D113" s="53" t="s">
        <v>335</v>
      </c>
      <c r="E113" s="73"/>
      <c r="F113" s="74"/>
      <c r="G113" s="16"/>
      <c r="H113" s="1"/>
      <c r="I113" s="1"/>
      <c r="J113" s="19"/>
    </row>
    <row r="114" spans="1:10" x14ac:dyDescent="0.25">
      <c r="A114" s="1">
        <f t="shared" si="1"/>
        <v>41</v>
      </c>
      <c r="B114" s="31" t="s">
        <v>179</v>
      </c>
      <c r="C114" s="58" t="s">
        <v>180</v>
      </c>
      <c r="D114" s="53" t="s">
        <v>335</v>
      </c>
      <c r="E114" s="73"/>
      <c r="F114" s="74"/>
      <c r="G114" s="16"/>
      <c r="H114" s="1"/>
      <c r="I114" s="1"/>
      <c r="J114" s="19"/>
    </row>
    <row r="115" spans="1:10" x14ac:dyDescent="0.25">
      <c r="A115" s="1">
        <f t="shared" si="1"/>
        <v>42</v>
      </c>
      <c r="B115" s="31" t="s">
        <v>181</v>
      </c>
      <c r="C115" s="58" t="s">
        <v>182</v>
      </c>
      <c r="D115" s="53" t="s">
        <v>335</v>
      </c>
      <c r="E115" s="73"/>
      <c r="F115" s="74"/>
      <c r="G115" s="16"/>
      <c r="H115" s="1"/>
      <c r="I115" s="1"/>
      <c r="J115" s="19"/>
    </row>
    <row r="116" spans="1:10" x14ac:dyDescent="0.25">
      <c r="A116" s="1">
        <f t="shared" si="1"/>
        <v>43</v>
      </c>
      <c r="B116" s="31" t="s">
        <v>183</v>
      </c>
      <c r="C116" s="58" t="s">
        <v>184</v>
      </c>
      <c r="D116" s="53" t="s">
        <v>335</v>
      </c>
      <c r="E116" s="73"/>
      <c r="F116" s="74"/>
      <c r="G116" s="16"/>
      <c r="H116" s="1"/>
      <c r="I116" s="1"/>
      <c r="J116" s="19"/>
    </row>
    <row r="117" spans="1:10" x14ac:dyDescent="0.25">
      <c r="A117" s="1">
        <f t="shared" si="1"/>
        <v>44</v>
      </c>
      <c r="B117" s="31" t="s">
        <v>185</v>
      </c>
      <c r="C117" s="58" t="s">
        <v>186</v>
      </c>
      <c r="D117" s="53" t="s">
        <v>335</v>
      </c>
      <c r="E117" s="73"/>
      <c r="F117" s="74"/>
      <c r="G117" s="16"/>
      <c r="H117" s="1"/>
      <c r="I117" s="1"/>
      <c r="J117" s="19"/>
    </row>
    <row r="118" spans="1:10" x14ac:dyDescent="0.25">
      <c r="A118" s="1">
        <f t="shared" si="1"/>
        <v>45</v>
      </c>
      <c r="B118" s="31" t="s">
        <v>187</v>
      </c>
      <c r="C118" s="58" t="s">
        <v>188</v>
      </c>
      <c r="D118" s="53" t="s">
        <v>335</v>
      </c>
      <c r="E118" s="73"/>
      <c r="F118" s="74"/>
      <c r="G118" s="16"/>
      <c r="H118" s="1"/>
      <c r="I118" s="1"/>
      <c r="J118" s="19"/>
    </row>
    <row r="119" spans="1:10" x14ac:dyDescent="0.25">
      <c r="A119" s="1">
        <f t="shared" si="1"/>
        <v>46</v>
      </c>
      <c r="B119" s="31" t="s">
        <v>189</v>
      </c>
      <c r="C119" s="58" t="s">
        <v>190</v>
      </c>
      <c r="D119" s="53" t="s">
        <v>335</v>
      </c>
      <c r="E119" s="73"/>
      <c r="F119" s="74"/>
      <c r="G119" s="16"/>
      <c r="H119" s="1"/>
      <c r="I119" s="1"/>
      <c r="J119" s="19"/>
    </row>
    <row r="120" spans="1:10" x14ac:dyDescent="0.25">
      <c r="A120" s="1">
        <f t="shared" si="1"/>
        <v>47</v>
      </c>
      <c r="B120" s="31" t="s">
        <v>191</v>
      </c>
      <c r="C120" s="58" t="s">
        <v>192</v>
      </c>
      <c r="D120" s="53" t="s">
        <v>335</v>
      </c>
      <c r="E120" s="73"/>
      <c r="F120" s="74"/>
      <c r="G120" s="16"/>
      <c r="H120" s="1"/>
      <c r="I120" s="1"/>
      <c r="J120" s="19"/>
    </row>
    <row r="121" spans="1:10" x14ac:dyDescent="0.25">
      <c r="A121" s="1">
        <f t="shared" si="1"/>
        <v>48</v>
      </c>
      <c r="B121" s="31" t="s">
        <v>193</v>
      </c>
      <c r="C121" s="58" t="s">
        <v>194</v>
      </c>
      <c r="D121" s="53" t="s">
        <v>335</v>
      </c>
      <c r="E121" s="73"/>
      <c r="F121" s="74"/>
      <c r="G121" s="16"/>
      <c r="H121" s="1"/>
      <c r="I121" s="1"/>
      <c r="J121" s="19"/>
    </row>
    <row r="122" spans="1:10" x14ac:dyDescent="0.25">
      <c r="A122" s="1">
        <f t="shared" si="1"/>
        <v>49</v>
      </c>
      <c r="B122" s="31" t="s">
        <v>195</v>
      </c>
      <c r="C122" s="58" t="s">
        <v>196</v>
      </c>
      <c r="D122" s="53" t="s">
        <v>335</v>
      </c>
      <c r="E122" s="73"/>
      <c r="F122" s="74"/>
      <c r="G122" s="16"/>
      <c r="H122" s="1"/>
      <c r="I122" s="1"/>
      <c r="J122" s="19"/>
    </row>
    <row r="123" spans="1:10" x14ac:dyDescent="0.25">
      <c r="A123" s="1">
        <f t="shared" si="1"/>
        <v>50</v>
      </c>
      <c r="B123" s="31" t="s">
        <v>197</v>
      </c>
      <c r="C123" s="58" t="s">
        <v>198</v>
      </c>
      <c r="D123" s="53" t="s">
        <v>335</v>
      </c>
      <c r="E123" s="73"/>
      <c r="F123" s="74"/>
      <c r="G123" s="16"/>
      <c r="H123" s="1"/>
      <c r="I123" s="1"/>
      <c r="J123" s="19"/>
    </row>
    <row r="124" spans="1:10" x14ac:dyDescent="0.25">
      <c r="A124" s="1">
        <f t="shared" si="1"/>
        <v>51</v>
      </c>
      <c r="B124" s="31" t="s">
        <v>199</v>
      </c>
      <c r="C124" s="58" t="s">
        <v>200</v>
      </c>
      <c r="D124" s="53" t="s">
        <v>335</v>
      </c>
      <c r="E124" s="73"/>
      <c r="F124" s="74"/>
      <c r="G124" s="16"/>
      <c r="H124" s="1"/>
      <c r="I124" s="1"/>
      <c r="J124" s="19"/>
    </row>
    <row r="125" spans="1:10" x14ac:dyDescent="0.25">
      <c r="A125" s="1">
        <f t="shared" si="1"/>
        <v>52</v>
      </c>
      <c r="B125" s="31" t="s">
        <v>201</v>
      </c>
      <c r="C125" s="58" t="s">
        <v>202</v>
      </c>
      <c r="D125" s="53" t="s">
        <v>335</v>
      </c>
      <c r="E125" s="73"/>
      <c r="F125" s="74"/>
      <c r="G125" s="16"/>
      <c r="H125" s="1"/>
      <c r="I125" s="1"/>
      <c r="J125" s="19"/>
    </row>
    <row r="126" spans="1:10" x14ac:dyDescent="0.25">
      <c r="A126" s="1">
        <f t="shared" si="1"/>
        <v>53</v>
      </c>
      <c r="B126" s="31" t="s">
        <v>203</v>
      </c>
      <c r="C126" s="58" t="s">
        <v>204</v>
      </c>
      <c r="D126" s="53" t="s">
        <v>335</v>
      </c>
      <c r="E126" s="73"/>
      <c r="F126" s="74"/>
      <c r="G126" s="16"/>
      <c r="H126" s="1"/>
      <c r="I126" s="1"/>
      <c r="J126" s="19"/>
    </row>
    <row r="127" spans="1:10" x14ac:dyDescent="0.25">
      <c r="A127" s="1">
        <f t="shared" si="1"/>
        <v>54</v>
      </c>
      <c r="B127" s="31" t="s">
        <v>205</v>
      </c>
      <c r="C127" s="58" t="s">
        <v>206</v>
      </c>
      <c r="D127" s="53" t="s">
        <v>335</v>
      </c>
      <c r="E127" s="73"/>
      <c r="F127" s="74"/>
      <c r="G127" s="16"/>
      <c r="H127" s="1"/>
      <c r="I127" s="1"/>
      <c r="J127" s="19"/>
    </row>
    <row r="128" spans="1:10" x14ac:dyDescent="0.25">
      <c r="A128" s="1">
        <f t="shared" si="1"/>
        <v>55</v>
      </c>
      <c r="B128" s="31" t="s">
        <v>207</v>
      </c>
      <c r="C128" s="58" t="s">
        <v>208</v>
      </c>
      <c r="D128" s="53" t="s">
        <v>335</v>
      </c>
      <c r="E128" s="73"/>
      <c r="F128" s="74"/>
      <c r="G128" s="16"/>
      <c r="H128" s="1"/>
      <c r="I128" s="1"/>
      <c r="J128" s="19"/>
    </row>
    <row r="129" spans="1:10" x14ac:dyDescent="0.25">
      <c r="A129" s="1">
        <f t="shared" si="1"/>
        <v>56</v>
      </c>
      <c r="B129" s="31" t="s">
        <v>209</v>
      </c>
      <c r="C129" s="58" t="s">
        <v>210</v>
      </c>
      <c r="D129" s="53" t="s">
        <v>335</v>
      </c>
      <c r="E129" s="73"/>
      <c r="F129" s="74"/>
      <c r="G129" s="16"/>
      <c r="H129" s="1"/>
      <c r="I129" s="1"/>
      <c r="J129" s="19"/>
    </row>
    <row r="130" spans="1:10" x14ac:dyDescent="0.25">
      <c r="A130" s="1">
        <f t="shared" si="1"/>
        <v>57</v>
      </c>
      <c r="B130" s="31" t="s">
        <v>211</v>
      </c>
      <c r="C130" s="58" t="s">
        <v>212</v>
      </c>
      <c r="D130" s="53" t="s">
        <v>335</v>
      </c>
      <c r="E130" s="73"/>
      <c r="F130" s="74"/>
      <c r="G130" s="16"/>
      <c r="H130" s="1"/>
      <c r="I130" s="1"/>
      <c r="J130" s="19"/>
    </row>
    <row r="131" spans="1:10" x14ac:dyDescent="0.25">
      <c r="A131" s="1">
        <f t="shared" si="1"/>
        <v>58</v>
      </c>
      <c r="B131" s="31" t="s">
        <v>218</v>
      </c>
      <c r="C131" s="58" t="s">
        <v>217</v>
      </c>
      <c r="D131" s="53" t="s">
        <v>335</v>
      </c>
      <c r="E131" s="73"/>
      <c r="F131" s="74"/>
      <c r="G131" s="16"/>
      <c r="H131" s="1"/>
      <c r="I131" s="1"/>
      <c r="J131" s="19"/>
    </row>
    <row r="132" spans="1:10" x14ac:dyDescent="0.25">
      <c r="A132" s="1">
        <f t="shared" si="1"/>
        <v>59</v>
      </c>
      <c r="B132" s="31" t="s">
        <v>213</v>
      </c>
      <c r="C132" s="58" t="s">
        <v>214</v>
      </c>
      <c r="D132" s="53" t="s">
        <v>335</v>
      </c>
      <c r="E132" s="73"/>
      <c r="F132" s="74"/>
      <c r="G132" s="16"/>
      <c r="H132" s="1"/>
      <c r="I132" s="1"/>
      <c r="J132" s="19"/>
    </row>
    <row r="133" spans="1:10" x14ac:dyDescent="0.25">
      <c r="A133" s="1">
        <f t="shared" si="1"/>
        <v>60</v>
      </c>
      <c r="B133" s="31" t="s">
        <v>215</v>
      </c>
      <c r="C133" s="58" t="s">
        <v>216</v>
      </c>
      <c r="D133" s="53" t="s">
        <v>335</v>
      </c>
      <c r="E133" s="73"/>
      <c r="F133" s="74"/>
      <c r="G133" s="16"/>
      <c r="H133" s="1"/>
      <c r="I133" s="1"/>
      <c r="J133" s="19"/>
    </row>
    <row r="134" spans="1:10" x14ac:dyDescent="0.25">
      <c r="A134" s="1">
        <f t="shared" si="1"/>
        <v>61</v>
      </c>
      <c r="B134" s="31" t="s">
        <v>219</v>
      </c>
      <c r="C134" s="58" t="s">
        <v>220</v>
      </c>
      <c r="D134" s="53" t="s">
        <v>335</v>
      </c>
      <c r="E134" s="73"/>
      <c r="F134" s="74"/>
      <c r="G134" s="16"/>
      <c r="H134" s="1"/>
      <c r="I134" s="1"/>
      <c r="J134" s="19"/>
    </row>
    <row r="135" spans="1:10" x14ac:dyDescent="0.25">
      <c r="A135" s="1">
        <f t="shared" si="1"/>
        <v>62</v>
      </c>
      <c r="B135" s="31" t="s">
        <v>221</v>
      </c>
      <c r="C135" s="58" t="s">
        <v>222</v>
      </c>
      <c r="D135" s="53" t="s">
        <v>335</v>
      </c>
      <c r="E135" s="73"/>
      <c r="F135" s="74"/>
      <c r="G135" s="16"/>
      <c r="H135" s="1"/>
      <c r="I135" s="1"/>
      <c r="J135" s="19"/>
    </row>
    <row r="136" spans="1:10" x14ac:dyDescent="0.25">
      <c r="A136" s="1">
        <f t="shared" si="1"/>
        <v>63</v>
      </c>
      <c r="B136" s="31" t="s">
        <v>223</v>
      </c>
      <c r="C136" s="58" t="s">
        <v>224</v>
      </c>
      <c r="D136" s="53" t="s">
        <v>335</v>
      </c>
      <c r="E136" s="73"/>
      <c r="F136" s="74"/>
      <c r="G136" s="16"/>
      <c r="H136" s="1"/>
      <c r="I136" s="1"/>
      <c r="J136" s="19"/>
    </row>
    <row r="137" spans="1:10" x14ac:dyDescent="0.25">
      <c r="A137" s="1">
        <f t="shared" si="1"/>
        <v>64</v>
      </c>
      <c r="B137" s="31" t="s">
        <v>225</v>
      </c>
      <c r="C137" s="58" t="s">
        <v>226</v>
      </c>
      <c r="D137" s="53" t="s">
        <v>335</v>
      </c>
      <c r="E137" s="73"/>
      <c r="F137" s="74"/>
      <c r="G137" s="16"/>
      <c r="H137" s="1"/>
      <c r="I137" s="1"/>
      <c r="J137" s="19"/>
    </row>
    <row r="138" spans="1:10" x14ac:dyDescent="0.25">
      <c r="A138" s="1">
        <f t="shared" si="1"/>
        <v>65</v>
      </c>
      <c r="B138" s="31" t="s">
        <v>227</v>
      </c>
      <c r="C138" s="58" t="s">
        <v>228</v>
      </c>
      <c r="D138" s="53" t="s">
        <v>335</v>
      </c>
      <c r="E138" s="73"/>
      <c r="F138" s="74"/>
      <c r="G138" s="16"/>
      <c r="H138" s="1"/>
      <c r="I138" s="1"/>
      <c r="J138" s="19"/>
    </row>
    <row r="139" spans="1:10" x14ac:dyDescent="0.25">
      <c r="A139" s="1">
        <f t="shared" ref="A139:A202" si="2">A138+1</f>
        <v>66</v>
      </c>
      <c r="B139" s="31" t="s">
        <v>229</v>
      </c>
      <c r="C139" s="58" t="s">
        <v>230</v>
      </c>
      <c r="D139" s="53" t="s">
        <v>335</v>
      </c>
      <c r="E139" s="73"/>
      <c r="F139" s="74"/>
      <c r="G139" s="16"/>
      <c r="H139" s="1"/>
      <c r="I139" s="1"/>
      <c r="J139" s="19"/>
    </row>
    <row r="140" spans="1:10" x14ac:dyDescent="0.25">
      <c r="A140" s="1">
        <f t="shared" si="2"/>
        <v>67</v>
      </c>
      <c r="B140" s="31" t="s">
        <v>231</v>
      </c>
      <c r="C140" s="58" t="s">
        <v>232</v>
      </c>
      <c r="D140" s="53" t="s">
        <v>335</v>
      </c>
      <c r="E140" s="73"/>
      <c r="F140" s="74"/>
      <c r="G140" s="16"/>
      <c r="H140" s="1"/>
      <c r="I140" s="1"/>
      <c r="J140" s="19"/>
    </row>
    <row r="141" spans="1:10" x14ac:dyDescent="0.25">
      <c r="A141" s="1">
        <f t="shared" si="2"/>
        <v>68</v>
      </c>
      <c r="B141" s="31" t="s">
        <v>233</v>
      </c>
      <c r="C141" s="58" t="s">
        <v>234</v>
      </c>
      <c r="D141" s="53" t="s">
        <v>335</v>
      </c>
      <c r="E141" s="73"/>
      <c r="F141" s="74"/>
      <c r="G141" s="16"/>
      <c r="H141" s="1"/>
      <c r="I141" s="1"/>
      <c r="J141" s="19"/>
    </row>
    <row r="142" spans="1:10" x14ac:dyDescent="0.25">
      <c r="A142" s="1">
        <f t="shared" si="2"/>
        <v>69</v>
      </c>
      <c r="B142" s="31" t="s">
        <v>235</v>
      </c>
      <c r="C142" s="58" t="s">
        <v>236</v>
      </c>
      <c r="D142" s="53" t="s">
        <v>335</v>
      </c>
      <c r="E142" s="73"/>
      <c r="F142" s="74"/>
      <c r="G142" s="16"/>
      <c r="H142" s="1"/>
      <c r="I142" s="1"/>
      <c r="J142" s="19"/>
    </row>
    <row r="143" spans="1:10" x14ac:dyDescent="0.25">
      <c r="A143" s="1">
        <f t="shared" si="2"/>
        <v>70</v>
      </c>
      <c r="B143" s="56" t="s">
        <v>237</v>
      </c>
      <c r="C143" s="57" t="s">
        <v>238</v>
      </c>
      <c r="D143" s="53" t="s">
        <v>335</v>
      </c>
      <c r="E143" s="73"/>
      <c r="F143" s="74"/>
      <c r="G143" s="16"/>
      <c r="H143" s="1"/>
      <c r="I143" s="1"/>
      <c r="J143" s="19"/>
    </row>
    <row r="144" spans="1:10" x14ac:dyDescent="0.25">
      <c r="A144" s="1">
        <f t="shared" si="2"/>
        <v>71</v>
      </c>
      <c r="B144" s="31" t="s">
        <v>239</v>
      </c>
      <c r="C144" s="58" t="s">
        <v>240</v>
      </c>
      <c r="D144" s="53" t="s">
        <v>335</v>
      </c>
      <c r="E144" s="73"/>
      <c r="F144" s="74"/>
      <c r="G144" s="16"/>
      <c r="H144" s="1"/>
      <c r="I144" s="1"/>
      <c r="J144" s="19"/>
    </row>
    <row r="145" spans="1:10" x14ac:dyDescent="0.25">
      <c r="A145" s="1">
        <f t="shared" si="2"/>
        <v>72</v>
      </c>
      <c r="B145" s="31" t="s">
        <v>241</v>
      </c>
      <c r="C145" s="58" t="s">
        <v>242</v>
      </c>
      <c r="D145" s="53" t="s">
        <v>335</v>
      </c>
      <c r="E145" s="73"/>
      <c r="F145" s="74"/>
      <c r="G145" s="16"/>
      <c r="H145" s="1"/>
      <c r="I145" s="1"/>
      <c r="J145" s="19"/>
    </row>
    <row r="146" spans="1:10" x14ac:dyDescent="0.25">
      <c r="A146" s="1">
        <f t="shared" si="2"/>
        <v>73</v>
      </c>
      <c r="B146" s="31" t="s">
        <v>243</v>
      </c>
      <c r="C146" s="58" t="s">
        <v>244</v>
      </c>
      <c r="D146" s="53" t="s">
        <v>335</v>
      </c>
      <c r="E146" s="73"/>
      <c r="F146" s="74"/>
      <c r="G146" s="16"/>
      <c r="H146" s="1"/>
      <c r="I146" s="1"/>
      <c r="J146" s="19"/>
    </row>
    <row r="147" spans="1:10" x14ac:dyDescent="0.25">
      <c r="A147" s="1">
        <f t="shared" si="2"/>
        <v>74</v>
      </c>
      <c r="B147" s="31" t="s">
        <v>245</v>
      </c>
      <c r="C147" s="58" t="s">
        <v>246</v>
      </c>
      <c r="D147" s="53" t="s">
        <v>335</v>
      </c>
      <c r="E147" s="73"/>
      <c r="F147" s="74"/>
      <c r="G147" s="16"/>
      <c r="H147" s="1"/>
      <c r="I147" s="1"/>
      <c r="J147" s="19"/>
    </row>
    <row r="148" spans="1:10" x14ac:dyDescent="0.25">
      <c r="A148" s="1">
        <f>A147+1</f>
        <v>75</v>
      </c>
      <c r="B148" s="31" t="s">
        <v>247</v>
      </c>
      <c r="C148" s="58" t="s">
        <v>248</v>
      </c>
      <c r="D148" s="53" t="s">
        <v>335</v>
      </c>
      <c r="E148" s="73"/>
      <c r="F148" s="74"/>
      <c r="G148" s="16"/>
      <c r="H148" s="1"/>
      <c r="I148" s="1"/>
      <c r="J148" s="19"/>
    </row>
    <row r="149" spans="1:10" x14ac:dyDescent="0.25">
      <c r="A149" s="1">
        <f t="shared" si="2"/>
        <v>76</v>
      </c>
      <c r="B149" s="31" t="s">
        <v>249</v>
      </c>
      <c r="C149" s="58"/>
      <c r="D149" s="53" t="s">
        <v>335</v>
      </c>
      <c r="E149" s="73"/>
      <c r="F149" s="74"/>
      <c r="G149" s="16"/>
      <c r="H149" s="1"/>
      <c r="I149" s="1"/>
      <c r="J149" s="19"/>
    </row>
    <row r="150" spans="1:10" x14ac:dyDescent="0.25">
      <c r="A150" s="1">
        <f t="shared" si="2"/>
        <v>77</v>
      </c>
      <c r="B150" s="31" t="s">
        <v>250</v>
      </c>
      <c r="C150" s="58"/>
      <c r="D150" s="53" t="s">
        <v>335</v>
      </c>
      <c r="E150" s="73"/>
      <c r="F150" s="74"/>
      <c r="G150" s="16"/>
      <c r="H150" s="1"/>
      <c r="I150" s="1"/>
      <c r="J150" s="19"/>
    </row>
    <row r="151" spans="1:10" x14ac:dyDescent="0.25">
      <c r="A151" s="1">
        <f t="shared" si="2"/>
        <v>78</v>
      </c>
      <c r="B151" s="31" t="s">
        <v>251</v>
      </c>
      <c r="C151" s="58"/>
      <c r="D151" s="53" t="s">
        <v>335</v>
      </c>
      <c r="E151" s="73"/>
      <c r="F151" s="74"/>
      <c r="G151" s="16"/>
      <c r="H151" s="9"/>
      <c r="I151" s="1"/>
      <c r="J151" s="19"/>
    </row>
    <row r="152" spans="1:10" x14ac:dyDescent="0.25">
      <c r="A152" s="1">
        <f t="shared" si="2"/>
        <v>79</v>
      </c>
      <c r="B152" s="31" t="s">
        <v>252</v>
      </c>
      <c r="C152" s="58" t="s">
        <v>253</v>
      </c>
      <c r="D152" s="53" t="s">
        <v>335</v>
      </c>
      <c r="E152" s="73"/>
      <c r="F152" s="74"/>
      <c r="G152" s="16"/>
      <c r="H152" s="9"/>
      <c r="I152" s="1"/>
      <c r="J152" s="19"/>
    </row>
    <row r="153" spans="1:10" x14ac:dyDescent="0.25">
      <c r="A153" s="1">
        <f t="shared" si="2"/>
        <v>80</v>
      </c>
      <c r="B153" s="31" t="s">
        <v>254</v>
      </c>
      <c r="C153" s="58" t="s">
        <v>255</v>
      </c>
      <c r="D153" s="53" t="s">
        <v>335</v>
      </c>
      <c r="E153" s="73"/>
      <c r="F153" s="74"/>
      <c r="G153" s="16"/>
      <c r="H153" s="1"/>
      <c r="I153" s="1"/>
      <c r="J153" s="19"/>
    </row>
    <row r="154" spans="1:10" x14ac:dyDescent="0.25">
      <c r="A154" s="1">
        <f t="shared" si="2"/>
        <v>81</v>
      </c>
      <c r="B154" s="31" t="s">
        <v>4</v>
      </c>
      <c r="C154" s="58"/>
      <c r="D154" s="53" t="s">
        <v>335</v>
      </c>
      <c r="E154" s="73"/>
      <c r="F154" s="74"/>
      <c r="G154" s="16"/>
      <c r="H154" s="1"/>
      <c r="I154" s="1"/>
      <c r="J154" s="19"/>
    </row>
    <row r="155" spans="1:10" x14ac:dyDescent="0.25">
      <c r="A155" s="1">
        <f t="shared" si="2"/>
        <v>82</v>
      </c>
      <c r="B155" s="31" t="s">
        <v>256</v>
      </c>
      <c r="C155" s="58" t="s">
        <v>257</v>
      </c>
      <c r="D155" s="53" t="s">
        <v>335</v>
      </c>
      <c r="E155" s="73"/>
      <c r="F155" s="74"/>
      <c r="G155" s="16"/>
      <c r="H155" s="1"/>
      <c r="I155" s="1"/>
      <c r="J155" s="19"/>
    </row>
    <row r="156" spans="1:10" x14ac:dyDescent="0.25">
      <c r="A156" s="1">
        <f t="shared" si="2"/>
        <v>83</v>
      </c>
      <c r="B156" s="31" t="s">
        <v>258</v>
      </c>
      <c r="C156" s="58" t="s">
        <v>259</v>
      </c>
      <c r="D156" s="53" t="s">
        <v>335</v>
      </c>
      <c r="E156" s="73"/>
      <c r="F156" s="74"/>
      <c r="G156" s="16"/>
      <c r="H156" s="1"/>
      <c r="I156" s="1"/>
      <c r="J156" s="19"/>
    </row>
    <row r="157" spans="1:10" x14ac:dyDescent="0.25">
      <c r="A157" s="1">
        <f t="shared" si="2"/>
        <v>84</v>
      </c>
      <c r="B157" s="31" t="s">
        <v>260</v>
      </c>
      <c r="C157" s="58" t="s">
        <v>261</v>
      </c>
      <c r="D157" s="53" t="s">
        <v>335</v>
      </c>
      <c r="E157" s="73"/>
      <c r="F157" s="74"/>
      <c r="G157" s="16"/>
      <c r="H157" s="1"/>
      <c r="I157" s="1"/>
      <c r="J157" s="19"/>
    </row>
    <row r="158" spans="1:10" x14ac:dyDescent="0.25">
      <c r="A158" s="1">
        <f t="shared" si="2"/>
        <v>85</v>
      </c>
      <c r="B158" s="31" t="s">
        <v>262</v>
      </c>
      <c r="C158" s="58" t="s">
        <v>263</v>
      </c>
      <c r="D158" s="53" t="s">
        <v>335</v>
      </c>
      <c r="E158" s="73"/>
      <c r="F158" s="74"/>
      <c r="G158" s="16"/>
      <c r="H158" s="1"/>
      <c r="I158" s="1"/>
      <c r="J158" s="19"/>
    </row>
    <row r="159" spans="1:10" x14ac:dyDescent="0.25">
      <c r="A159" s="1">
        <f t="shared" si="2"/>
        <v>86</v>
      </c>
      <c r="B159" s="31" t="s">
        <v>264</v>
      </c>
      <c r="C159" s="58" t="s">
        <v>265</v>
      </c>
      <c r="D159" s="53" t="s">
        <v>335</v>
      </c>
      <c r="E159" s="73"/>
      <c r="F159" s="74"/>
      <c r="G159" s="16"/>
      <c r="H159" s="1"/>
      <c r="I159" s="1"/>
      <c r="J159" s="19"/>
    </row>
    <row r="160" spans="1:10" x14ac:dyDescent="0.25">
      <c r="A160" s="1">
        <f t="shared" si="2"/>
        <v>87</v>
      </c>
      <c r="B160" s="31" t="s">
        <v>266</v>
      </c>
      <c r="C160" s="58" t="s">
        <v>267</v>
      </c>
      <c r="D160" s="53" t="s">
        <v>335</v>
      </c>
      <c r="E160" s="73"/>
      <c r="F160" s="74"/>
      <c r="G160" s="16"/>
      <c r="H160" s="1"/>
      <c r="I160" s="1"/>
      <c r="J160" s="19"/>
    </row>
    <row r="161" spans="1:10" x14ac:dyDescent="0.25">
      <c r="A161" s="1">
        <f t="shared" si="2"/>
        <v>88</v>
      </c>
      <c r="B161" s="31" t="s">
        <v>268</v>
      </c>
      <c r="C161" s="58" t="s">
        <v>269</v>
      </c>
      <c r="D161" s="53" t="s">
        <v>335</v>
      </c>
      <c r="E161" s="73"/>
      <c r="F161" s="74"/>
      <c r="G161" s="16"/>
      <c r="H161" s="1"/>
      <c r="I161" s="1"/>
      <c r="J161" s="19"/>
    </row>
    <row r="162" spans="1:10" x14ac:dyDescent="0.25">
      <c r="A162" s="1">
        <f t="shared" si="2"/>
        <v>89</v>
      </c>
      <c r="B162" s="31" t="s">
        <v>271</v>
      </c>
      <c r="C162" s="58" t="s">
        <v>270</v>
      </c>
      <c r="D162" s="53" t="s">
        <v>335</v>
      </c>
      <c r="E162" s="73"/>
      <c r="F162" s="74"/>
      <c r="G162" s="16"/>
      <c r="H162" s="1"/>
      <c r="I162" s="1"/>
      <c r="J162" s="19"/>
    </row>
    <row r="163" spans="1:10" x14ac:dyDescent="0.25">
      <c r="A163" s="1">
        <f t="shared" si="2"/>
        <v>90</v>
      </c>
      <c r="B163" s="31" t="s">
        <v>272</v>
      </c>
      <c r="C163" s="58" t="s">
        <v>273</v>
      </c>
      <c r="D163" s="53" t="s">
        <v>335</v>
      </c>
      <c r="E163" s="73"/>
      <c r="F163" s="74"/>
      <c r="G163" s="16"/>
      <c r="H163" s="1"/>
      <c r="I163" s="1"/>
      <c r="J163" s="19"/>
    </row>
    <row r="164" spans="1:10" x14ac:dyDescent="0.25">
      <c r="A164" s="1">
        <f t="shared" si="2"/>
        <v>91</v>
      </c>
      <c r="B164" s="31" t="s">
        <v>274</v>
      </c>
      <c r="C164" s="58" t="s">
        <v>275</v>
      </c>
      <c r="D164" s="53" t="s">
        <v>335</v>
      </c>
      <c r="E164" s="73"/>
      <c r="F164" s="74"/>
      <c r="G164" s="16"/>
      <c r="H164" s="1"/>
      <c r="I164" s="1"/>
      <c r="J164" s="19"/>
    </row>
    <row r="165" spans="1:10" x14ac:dyDescent="0.25">
      <c r="A165" s="1">
        <f t="shared" si="2"/>
        <v>92</v>
      </c>
      <c r="B165" s="31" t="s">
        <v>276</v>
      </c>
      <c r="C165" s="58" t="s">
        <v>277</v>
      </c>
      <c r="D165" s="53" t="s">
        <v>335</v>
      </c>
      <c r="E165" s="73"/>
      <c r="F165" s="74"/>
      <c r="G165" s="16"/>
      <c r="H165" s="1"/>
      <c r="I165" s="1"/>
      <c r="J165" s="19"/>
    </row>
    <row r="166" spans="1:10" x14ac:dyDescent="0.25">
      <c r="A166" s="1">
        <f t="shared" si="2"/>
        <v>93</v>
      </c>
      <c r="B166" s="31" t="s">
        <v>278</v>
      </c>
      <c r="C166" s="58" t="s">
        <v>279</v>
      </c>
      <c r="D166" s="53" t="s">
        <v>335</v>
      </c>
      <c r="E166" s="73"/>
      <c r="F166" s="74"/>
      <c r="G166" s="16"/>
      <c r="H166" s="1"/>
      <c r="I166" s="1"/>
      <c r="J166" s="19"/>
    </row>
    <row r="167" spans="1:10" x14ac:dyDescent="0.25">
      <c r="A167" s="1">
        <f t="shared" si="2"/>
        <v>94</v>
      </c>
      <c r="B167" s="31" t="s">
        <v>280</v>
      </c>
      <c r="C167" s="58" t="s">
        <v>281</v>
      </c>
      <c r="D167" s="53" t="s">
        <v>335</v>
      </c>
      <c r="E167" s="73"/>
      <c r="F167" s="74"/>
      <c r="G167" s="16"/>
      <c r="H167" s="1"/>
      <c r="I167" s="1"/>
      <c r="J167" s="19"/>
    </row>
    <row r="168" spans="1:10" x14ac:dyDescent="0.25">
      <c r="A168" s="1">
        <f t="shared" si="2"/>
        <v>95</v>
      </c>
      <c r="B168" s="31" t="s">
        <v>282</v>
      </c>
      <c r="C168" s="58" t="s">
        <v>283</v>
      </c>
      <c r="D168" s="53" t="s">
        <v>335</v>
      </c>
      <c r="E168" s="73"/>
      <c r="F168" s="74"/>
      <c r="G168" s="16"/>
      <c r="H168" s="1"/>
      <c r="I168" s="1"/>
      <c r="J168" s="19"/>
    </row>
    <row r="169" spans="1:10" x14ac:dyDescent="0.25">
      <c r="A169" s="1">
        <f t="shared" si="2"/>
        <v>96</v>
      </c>
      <c r="B169" s="31" t="s">
        <v>284</v>
      </c>
      <c r="C169" s="58" t="s">
        <v>285</v>
      </c>
      <c r="D169" s="53" t="s">
        <v>335</v>
      </c>
      <c r="E169" s="73"/>
      <c r="F169" s="74"/>
      <c r="G169" s="16"/>
      <c r="H169" s="1"/>
      <c r="I169" s="1"/>
      <c r="J169" s="19"/>
    </row>
    <row r="170" spans="1:10" x14ac:dyDescent="0.25">
      <c r="A170" s="1">
        <f t="shared" si="2"/>
        <v>97</v>
      </c>
      <c r="B170" s="31" t="s">
        <v>286</v>
      </c>
      <c r="C170" s="58" t="s">
        <v>287</v>
      </c>
      <c r="D170" s="53" t="s">
        <v>335</v>
      </c>
      <c r="E170" s="73"/>
      <c r="F170" s="74"/>
      <c r="G170" s="16"/>
      <c r="H170" s="1"/>
      <c r="I170" s="1"/>
      <c r="J170" s="19"/>
    </row>
    <row r="171" spans="1:10" x14ac:dyDescent="0.25">
      <c r="A171" s="1">
        <f t="shared" si="2"/>
        <v>98</v>
      </c>
      <c r="B171" s="31" t="s">
        <v>288</v>
      </c>
      <c r="C171" s="58" t="s">
        <v>289</v>
      </c>
      <c r="D171" s="53" t="s">
        <v>335</v>
      </c>
      <c r="E171" s="73"/>
      <c r="F171" s="74"/>
      <c r="G171" s="16"/>
      <c r="H171" s="1"/>
      <c r="I171" s="1"/>
      <c r="J171" s="19"/>
    </row>
    <row r="172" spans="1:10" x14ac:dyDescent="0.25">
      <c r="A172" s="1">
        <f t="shared" si="2"/>
        <v>99</v>
      </c>
      <c r="B172" s="31" t="s">
        <v>290</v>
      </c>
      <c r="C172" s="58" t="s">
        <v>291</v>
      </c>
      <c r="D172" s="53" t="s">
        <v>335</v>
      </c>
      <c r="E172" s="73"/>
      <c r="F172" s="74"/>
      <c r="G172" s="16"/>
      <c r="H172" s="1"/>
      <c r="I172" s="1"/>
      <c r="J172" s="19"/>
    </row>
    <row r="173" spans="1:10" x14ac:dyDescent="0.25">
      <c r="A173" s="1">
        <f t="shared" si="2"/>
        <v>100</v>
      </c>
      <c r="B173" s="31" t="s">
        <v>292</v>
      </c>
      <c r="C173" s="58" t="s">
        <v>293</v>
      </c>
      <c r="D173" s="53" t="s">
        <v>335</v>
      </c>
      <c r="E173" s="73"/>
      <c r="F173" s="74"/>
      <c r="G173" s="16"/>
      <c r="H173" s="1"/>
      <c r="I173" s="1"/>
      <c r="J173" s="19"/>
    </row>
    <row r="174" spans="1:10" x14ac:dyDescent="0.25">
      <c r="A174" s="1">
        <f t="shared" si="2"/>
        <v>101</v>
      </c>
      <c r="B174" s="31" t="s">
        <v>294</v>
      </c>
      <c r="C174" s="58" t="s">
        <v>295</v>
      </c>
      <c r="D174" s="53" t="s">
        <v>335</v>
      </c>
      <c r="E174" s="73"/>
      <c r="F174" s="74"/>
      <c r="G174" s="16"/>
      <c r="H174" s="1"/>
      <c r="I174" s="1"/>
      <c r="J174" s="19"/>
    </row>
    <row r="175" spans="1:10" x14ac:dyDescent="0.25">
      <c r="A175" s="1">
        <f t="shared" si="2"/>
        <v>102</v>
      </c>
      <c r="B175" s="31" t="s">
        <v>296</v>
      </c>
      <c r="C175" s="58" t="s">
        <v>297</v>
      </c>
      <c r="D175" s="53" t="s">
        <v>335</v>
      </c>
      <c r="E175" s="73"/>
      <c r="F175" s="74"/>
      <c r="G175" s="16"/>
      <c r="H175" s="1"/>
      <c r="I175" s="1"/>
      <c r="J175" s="19"/>
    </row>
    <row r="176" spans="1:10" x14ac:dyDescent="0.25">
      <c r="A176" s="1">
        <f t="shared" si="2"/>
        <v>103</v>
      </c>
      <c r="B176" s="31" t="s">
        <v>298</v>
      </c>
      <c r="C176" s="58" t="s">
        <v>299</v>
      </c>
      <c r="D176" s="53" t="s">
        <v>335</v>
      </c>
      <c r="E176" s="73"/>
      <c r="F176" s="74"/>
      <c r="G176" s="16"/>
      <c r="H176" s="1"/>
      <c r="I176" s="1"/>
      <c r="J176" s="19"/>
    </row>
    <row r="177" spans="1:10" x14ac:dyDescent="0.25">
      <c r="A177" s="1">
        <f t="shared" si="2"/>
        <v>104</v>
      </c>
      <c r="B177" s="31" t="s">
        <v>300</v>
      </c>
      <c r="C177" s="58" t="s">
        <v>301</v>
      </c>
      <c r="D177" s="53" t="s">
        <v>335</v>
      </c>
      <c r="E177" s="73"/>
      <c r="F177" s="74"/>
      <c r="G177" s="16"/>
      <c r="H177" s="1"/>
      <c r="I177" s="1"/>
      <c r="J177" s="19"/>
    </row>
    <row r="178" spans="1:10" x14ac:dyDescent="0.25">
      <c r="A178" s="1">
        <f t="shared" si="2"/>
        <v>105</v>
      </c>
      <c r="B178" s="31" t="s">
        <v>302</v>
      </c>
      <c r="C178" s="58" t="s">
        <v>303</v>
      </c>
      <c r="D178" s="53" t="s">
        <v>335</v>
      </c>
      <c r="E178" s="73"/>
      <c r="F178" s="74"/>
      <c r="G178" s="16"/>
      <c r="H178" s="1"/>
      <c r="I178" s="1"/>
      <c r="J178" s="19"/>
    </row>
    <row r="179" spans="1:10" x14ac:dyDescent="0.25">
      <c r="A179" s="1">
        <f t="shared" si="2"/>
        <v>106</v>
      </c>
      <c r="B179" s="31" t="s">
        <v>304</v>
      </c>
      <c r="C179" s="58" t="s">
        <v>305</v>
      </c>
      <c r="D179" s="53" t="s">
        <v>335</v>
      </c>
      <c r="E179" s="73"/>
      <c r="F179" s="74"/>
      <c r="G179" s="16"/>
      <c r="H179" s="1"/>
      <c r="I179" s="1"/>
      <c r="J179" s="19"/>
    </row>
    <row r="180" spans="1:10" x14ac:dyDescent="0.25">
      <c r="A180" s="1">
        <f t="shared" si="2"/>
        <v>107</v>
      </c>
      <c r="B180" s="31" t="s">
        <v>306</v>
      </c>
      <c r="C180" s="58" t="s">
        <v>307</v>
      </c>
      <c r="D180" s="53" t="s">
        <v>335</v>
      </c>
      <c r="E180" s="73"/>
      <c r="F180" s="74"/>
      <c r="G180" s="16"/>
      <c r="H180" s="1"/>
      <c r="I180" s="1"/>
      <c r="J180" s="19"/>
    </row>
    <row r="181" spans="1:10" x14ac:dyDescent="0.25">
      <c r="A181" s="1">
        <f t="shared" si="2"/>
        <v>108</v>
      </c>
      <c r="B181" s="31" t="s">
        <v>308</v>
      </c>
      <c r="C181" s="58" t="s">
        <v>309</v>
      </c>
      <c r="D181" s="53" t="s">
        <v>335</v>
      </c>
      <c r="E181" s="73"/>
      <c r="F181" s="74"/>
      <c r="G181" s="16"/>
      <c r="H181" s="1"/>
      <c r="I181" s="1"/>
      <c r="J181" s="19"/>
    </row>
    <row r="182" spans="1:10" x14ac:dyDescent="0.25">
      <c r="A182" s="1">
        <f t="shared" si="2"/>
        <v>109</v>
      </c>
      <c r="B182" s="31" t="s">
        <v>310</v>
      </c>
      <c r="C182" s="58" t="s">
        <v>311</v>
      </c>
      <c r="D182" s="53" t="s">
        <v>334</v>
      </c>
      <c r="E182" s="73"/>
      <c r="F182" s="74"/>
      <c r="G182" s="16"/>
      <c r="H182" s="1"/>
      <c r="I182" s="1"/>
      <c r="J182" s="19"/>
    </row>
    <row r="183" spans="1:10" x14ac:dyDescent="0.25">
      <c r="A183" s="1">
        <f t="shared" si="2"/>
        <v>110</v>
      </c>
      <c r="B183" s="31" t="s">
        <v>312</v>
      </c>
      <c r="C183" s="58" t="s">
        <v>313</v>
      </c>
      <c r="D183" s="53" t="s">
        <v>335</v>
      </c>
      <c r="E183" s="73"/>
      <c r="F183" s="74"/>
      <c r="G183" s="16"/>
      <c r="H183" s="1"/>
      <c r="I183" s="1"/>
      <c r="J183" s="19"/>
    </row>
    <row r="184" spans="1:10" x14ac:dyDescent="0.25">
      <c r="A184" s="1">
        <f t="shared" si="2"/>
        <v>111</v>
      </c>
      <c r="B184" s="31" t="s">
        <v>314</v>
      </c>
      <c r="C184" s="58" t="s">
        <v>315</v>
      </c>
      <c r="D184" s="53" t="s">
        <v>335</v>
      </c>
      <c r="E184" s="73"/>
      <c r="F184" s="74"/>
      <c r="G184" s="16"/>
      <c r="H184" s="1"/>
      <c r="I184" s="1"/>
      <c r="J184" s="19"/>
    </row>
    <row r="185" spans="1:10" x14ac:dyDescent="0.25">
      <c r="A185" s="1">
        <f t="shared" si="2"/>
        <v>112</v>
      </c>
      <c r="B185" s="31" t="s">
        <v>316</v>
      </c>
      <c r="C185" s="58" t="s">
        <v>317</v>
      </c>
      <c r="D185" s="53" t="s">
        <v>335</v>
      </c>
      <c r="E185" s="73"/>
      <c r="F185" s="74"/>
      <c r="G185" s="16"/>
      <c r="H185" s="1"/>
      <c r="I185" s="1"/>
      <c r="J185" s="19"/>
    </row>
    <row r="186" spans="1:10" x14ac:dyDescent="0.25">
      <c r="A186" s="1">
        <f t="shared" si="2"/>
        <v>113</v>
      </c>
      <c r="B186" s="31" t="s">
        <v>318</v>
      </c>
      <c r="C186" s="58" t="s">
        <v>319</v>
      </c>
      <c r="D186" s="53" t="s">
        <v>335</v>
      </c>
      <c r="E186" s="73"/>
      <c r="F186" s="74"/>
      <c r="G186" s="16"/>
      <c r="H186" s="1"/>
      <c r="I186" s="1"/>
      <c r="J186" s="19"/>
    </row>
    <row r="187" spans="1:10" x14ac:dyDescent="0.25">
      <c r="A187" s="1">
        <f t="shared" si="2"/>
        <v>114</v>
      </c>
      <c r="B187" s="31" t="s">
        <v>320</v>
      </c>
      <c r="C187" s="58" t="s">
        <v>321</v>
      </c>
      <c r="D187" s="53" t="s">
        <v>335</v>
      </c>
      <c r="E187" s="73"/>
      <c r="F187" s="74"/>
      <c r="G187" s="16"/>
      <c r="H187" s="1"/>
      <c r="I187" s="1"/>
      <c r="J187" s="19"/>
    </row>
    <row r="188" spans="1:10" x14ac:dyDescent="0.25">
      <c r="A188" s="1">
        <f t="shared" si="2"/>
        <v>115</v>
      </c>
      <c r="B188" s="31" t="s">
        <v>322</v>
      </c>
      <c r="C188" s="58" t="s">
        <v>323</v>
      </c>
      <c r="D188" s="53" t="s">
        <v>335</v>
      </c>
      <c r="E188" s="73"/>
      <c r="F188" s="74"/>
      <c r="G188" s="16"/>
      <c r="H188" s="1"/>
      <c r="I188" s="1"/>
      <c r="J188" s="19"/>
    </row>
    <row r="189" spans="1:10" x14ac:dyDescent="0.25">
      <c r="A189" s="1">
        <f t="shared" si="2"/>
        <v>116</v>
      </c>
      <c r="B189" s="31" t="s">
        <v>324</v>
      </c>
      <c r="C189" s="58" t="s">
        <v>325</v>
      </c>
      <c r="D189" s="53" t="s">
        <v>335</v>
      </c>
      <c r="E189" s="73"/>
      <c r="F189" s="74"/>
      <c r="G189" s="16"/>
      <c r="H189" s="1"/>
      <c r="I189" s="1"/>
      <c r="J189" s="19"/>
    </row>
    <row r="190" spans="1:10" x14ac:dyDescent="0.25">
      <c r="A190" s="1">
        <f t="shared" si="2"/>
        <v>117</v>
      </c>
      <c r="B190" s="31" t="s">
        <v>326</v>
      </c>
      <c r="C190" s="58" t="s">
        <v>327</v>
      </c>
      <c r="D190" s="53" t="s">
        <v>335</v>
      </c>
      <c r="E190" s="73"/>
      <c r="F190" s="74"/>
      <c r="G190" s="16"/>
      <c r="H190" s="1"/>
      <c r="I190" s="1"/>
      <c r="J190" s="19"/>
    </row>
    <row r="191" spans="1:10" x14ac:dyDescent="0.25">
      <c r="A191" s="1">
        <f t="shared" si="2"/>
        <v>118</v>
      </c>
      <c r="B191" s="31" t="s">
        <v>328</v>
      </c>
      <c r="C191" s="58" t="s">
        <v>329</v>
      </c>
      <c r="D191" s="53" t="s">
        <v>335</v>
      </c>
      <c r="E191" s="73"/>
      <c r="F191" s="74"/>
      <c r="G191" s="16"/>
      <c r="H191" s="1"/>
      <c r="I191" s="1"/>
      <c r="J191" s="19"/>
    </row>
    <row r="192" spans="1:10" x14ac:dyDescent="0.25">
      <c r="A192" s="1">
        <f t="shared" si="2"/>
        <v>119</v>
      </c>
      <c r="B192" s="31" t="s">
        <v>330</v>
      </c>
      <c r="C192" s="58" t="s">
        <v>331</v>
      </c>
      <c r="D192" s="53" t="s">
        <v>335</v>
      </c>
      <c r="E192" s="73"/>
      <c r="F192" s="74"/>
      <c r="G192" s="16"/>
      <c r="H192" s="1"/>
      <c r="I192" s="1"/>
      <c r="J192" s="19"/>
    </row>
    <row r="193" spans="1:10" x14ac:dyDescent="0.25">
      <c r="A193" s="1">
        <f t="shared" si="2"/>
        <v>120</v>
      </c>
      <c r="B193" s="31" t="s">
        <v>332</v>
      </c>
      <c r="C193" s="58" t="s">
        <v>333</v>
      </c>
      <c r="D193" s="53" t="s">
        <v>335</v>
      </c>
      <c r="E193" s="73"/>
      <c r="F193" s="74"/>
      <c r="G193" s="16"/>
      <c r="H193" s="1"/>
      <c r="I193" s="1"/>
      <c r="J193" s="19"/>
    </row>
    <row r="194" spans="1:10" x14ac:dyDescent="0.25">
      <c r="A194" s="1">
        <f t="shared" si="2"/>
        <v>121</v>
      </c>
      <c r="B194" s="31"/>
      <c r="C194" s="58"/>
      <c r="D194" s="53"/>
      <c r="E194" s="73"/>
      <c r="F194" s="74"/>
      <c r="G194" s="16"/>
      <c r="H194" s="1"/>
      <c r="I194" s="1"/>
      <c r="J194" s="19"/>
    </row>
    <row r="195" spans="1:10" x14ac:dyDescent="0.25">
      <c r="A195" s="1">
        <f t="shared" si="2"/>
        <v>122</v>
      </c>
      <c r="B195" s="31"/>
      <c r="C195" s="58"/>
      <c r="D195" s="53"/>
      <c r="E195" s="73"/>
      <c r="F195" s="74"/>
      <c r="G195" s="16"/>
      <c r="H195" s="1"/>
      <c r="I195" s="1"/>
      <c r="J195" s="19"/>
    </row>
    <row r="196" spans="1:10" x14ac:dyDescent="0.25">
      <c r="A196" s="1">
        <f t="shared" si="2"/>
        <v>123</v>
      </c>
      <c r="B196" s="31"/>
      <c r="C196" s="58"/>
      <c r="D196" s="53"/>
      <c r="E196" s="73"/>
      <c r="F196" s="74"/>
      <c r="G196" s="16"/>
      <c r="H196" s="1"/>
      <c r="I196" s="1"/>
      <c r="J196" s="19"/>
    </row>
    <row r="197" spans="1:10" x14ac:dyDescent="0.25">
      <c r="A197" s="1">
        <f t="shared" si="2"/>
        <v>124</v>
      </c>
      <c r="B197" s="31"/>
      <c r="C197" s="58"/>
      <c r="D197" s="53"/>
      <c r="E197" s="73"/>
      <c r="F197" s="74"/>
      <c r="G197" s="16"/>
      <c r="H197" s="1"/>
      <c r="I197" s="1"/>
      <c r="J197" s="19"/>
    </row>
    <row r="198" spans="1:10" x14ac:dyDescent="0.25">
      <c r="A198" s="1">
        <f t="shared" si="2"/>
        <v>125</v>
      </c>
      <c r="B198" s="31"/>
      <c r="C198" s="58"/>
      <c r="D198" s="52"/>
      <c r="E198" s="79"/>
      <c r="F198" s="74"/>
      <c r="G198" s="16"/>
      <c r="H198" s="1"/>
      <c r="I198" s="1"/>
      <c r="J198" s="19"/>
    </row>
    <row r="199" spans="1:10" x14ac:dyDescent="0.25">
      <c r="A199" s="1">
        <f t="shared" si="2"/>
        <v>126</v>
      </c>
      <c r="B199" s="31"/>
      <c r="C199" s="58"/>
      <c r="D199" s="52"/>
      <c r="E199" s="79"/>
      <c r="F199" s="74"/>
      <c r="G199" s="16"/>
      <c r="H199" s="1"/>
      <c r="I199" s="1"/>
      <c r="J199" s="19"/>
    </row>
    <row r="200" spans="1:10" x14ac:dyDescent="0.25">
      <c r="A200" s="1">
        <f t="shared" si="2"/>
        <v>127</v>
      </c>
      <c r="B200" s="31"/>
      <c r="C200" s="58"/>
      <c r="D200" s="52"/>
      <c r="E200" s="79"/>
      <c r="F200" s="74"/>
      <c r="G200" s="16"/>
      <c r="H200" s="1"/>
      <c r="I200" s="1"/>
      <c r="J200" s="19"/>
    </row>
    <row r="201" spans="1:10" x14ac:dyDescent="0.25">
      <c r="A201" s="1">
        <f t="shared" si="2"/>
        <v>128</v>
      </c>
      <c r="B201" s="31"/>
      <c r="C201" s="58"/>
      <c r="D201" s="15"/>
      <c r="E201" s="80"/>
      <c r="F201" s="81"/>
      <c r="G201" s="16"/>
      <c r="H201" s="1"/>
      <c r="I201" s="1"/>
      <c r="J201" s="19"/>
    </row>
    <row r="202" spans="1:10" x14ac:dyDescent="0.25">
      <c r="A202" s="1">
        <f t="shared" si="2"/>
        <v>129</v>
      </c>
      <c r="B202" s="31"/>
      <c r="C202" s="58"/>
      <c r="D202" s="15"/>
      <c r="E202" s="80"/>
      <c r="F202" s="81"/>
      <c r="G202" s="16"/>
      <c r="H202" s="1"/>
      <c r="I202" s="1"/>
      <c r="J202" s="19"/>
    </row>
    <row r="203" spans="1:10" x14ac:dyDescent="0.25">
      <c r="A203" s="1">
        <f>A202+1</f>
        <v>130</v>
      </c>
      <c r="B203" s="31"/>
      <c r="C203" s="58"/>
      <c r="D203" s="15"/>
      <c r="E203" s="80"/>
      <c r="F203" s="81"/>
      <c r="G203" s="16"/>
      <c r="H203" s="1"/>
      <c r="I203" s="1"/>
      <c r="J203" s="19"/>
    </row>
    <row r="204" spans="1:10" x14ac:dyDescent="0.25">
      <c r="A204" s="1">
        <f>A70+1</f>
        <v>69</v>
      </c>
      <c r="B204" s="59"/>
      <c r="C204" s="60"/>
      <c r="D204" s="15"/>
      <c r="E204" s="80"/>
      <c r="F204" s="81"/>
      <c r="G204" s="16"/>
      <c r="H204" s="1"/>
      <c r="I204" s="1"/>
      <c r="J204" s="19"/>
    </row>
    <row r="205" spans="1:10" ht="15.75" thickBot="1" x14ac:dyDescent="0.3">
      <c r="A205" s="1">
        <f>A203+1</f>
        <v>131</v>
      </c>
      <c r="B205" s="31"/>
      <c r="C205" s="58"/>
      <c r="D205" s="15"/>
      <c r="E205" s="80"/>
      <c r="F205" s="82"/>
      <c r="G205" s="20"/>
      <c r="H205" s="21"/>
      <c r="I205" s="21"/>
      <c r="J205" s="22"/>
    </row>
  </sheetData>
  <mergeCells count="1">
    <mergeCell ref="A1:C1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05"/>
  <sheetViews>
    <sheetView workbookViewId="0">
      <selection activeCell="L8" sqref="L8"/>
    </sheetView>
  </sheetViews>
  <sheetFormatPr baseColWidth="10" defaultRowHeight="15" x14ac:dyDescent="0.25"/>
  <cols>
    <col min="1" max="1" width="3.85546875" customWidth="1"/>
    <col min="2" max="2" width="39.85546875" customWidth="1"/>
    <col min="7" max="7" width="6" customWidth="1"/>
  </cols>
  <sheetData>
    <row r="1" spans="1:10" ht="15.75" thickBot="1" x14ac:dyDescent="0.3">
      <c r="A1" s="378" t="s">
        <v>8</v>
      </c>
      <c r="B1" s="378"/>
      <c r="C1" s="378"/>
      <c r="D1" s="42"/>
      <c r="E1" s="43"/>
      <c r="F1" s="43" t="s">
        <v>93</v>
      </c>
      <c r="G1" s="43"/>
      <c r="H1" s="44"/>
    </row>
    <row r="2" spans="1:10" ht="15.75" thickBot="1" x14ac:dyDescent="0.3">
      <c r="A2" s="6" t="s">
        <v>3</v>
      </c>
      <c r="B2" s="49" t="s">
        <v>0</v>
      </c>
      <c r="C2" s="48" t="s">
        <v>1</v>
      </c>
      <c r="D2" s="10" t="s">
        <v>2</v>
      </c>
      <c r="E2" s="71" t="s">
        <v>336</v>
      </c>
      <c r="F2" s="72" t="s">
        <v>337</v>
      </c>
      <c r="G2" s="50" t="s">
        <v>10</v>
      </c>
      <c r="H2" s="51" t="s">
        <v>11</v>
      </c>
      <c r="I2" s="17" t="s">
        <v>12</v>
      </c>
      <c r="J2" s="18" t="s">
        <v>13</v>
      </c>
    </row>
    <row r="3" spans="1:10" x14ac:dyDescent="0.25">
      <c r="A3" s="1">
        <v>1</v>
      </c>
      <c r="B3" s="1" t="s">
        <v>14</v>
      </c>
      <c r="C3" s="4" t="s">
        <v>100</v>
      </c>
      <c r="D3" s="53" t="s">
        <v>5</v>
      </c>
      <c r="E3" s="73"/>
      <c r="F3" s="74"/>
      <c r="G3" s="16"/>
      <c r="H3" s="68"/>
      <c r="I3" s="1"/>
      <c r="J3" s="19"/>
    </row>
    <row r="4" spans="1:10" x14ac:dyDescent="0.25">
      <c r="A4" s="1">
        <f>A3+1</f>
        <v>2</v>
      </c>
      <c r="B4" s="1" t="s">
        <v>15</v>
      </c>
      <c r="C4" s="4"/>
      <c r="D4" s="53" t="s">
        <v>5</v>
      </c>
      <c r="E4" s="73"/>
      <c r="F4" s="74"/>
      <c r="G4" s="16"/>
      <c r="H4" s="1"/>
      <c r="I4" s="1"/>
      <c r="J4" s="19"/>
    </row>
    <row r="5" spans="1:10" x14ac:dyDescent="0.25">
      <c r="A5" s="1">
        <f t="shared" ref="A5:A68" si="0">A4+1</f>
        <v>3</v>
      </c>
      <c r="B5" s="3" t="s">
        <v>16</v>
      </c>
      <c r="C5" s="5" t="s">
        <v>101</v>
      </c>
      <c r="D5" s="54" t="s">
        <v>5</v>
      </c>
      <c r="E5" s="73"/>
      <c r="F5" s="74"/>
      <c r="G5" s="16"/>
      <c r="H5" s="1"/>
      <c r="I5" s="1"/>
      <c r="J5" s="19"/>
    </row>
    <row r="6" spans="1:10" x14ac:dyDescent="0.25">
      <c r="A6" s="1">
        <f t="shared" si="0"/>
        <v>4</v>
      </c>
      <c r="B6" s="1" t="s">
        <v>17</v>
      </c>
      <c r="C6" s="4"/>
      <c r="D6" s="53" t="s">
        <v>5</v>
      </c>
      <c r="E6" s="73"/>
      <c r="F6" s="74"/>
      <c r="G6" s="16"/>
      <c r="H6" s="1"/>
      <c r="I6" s="1"/>
      <c r="J6" s="19"/>
    </row>
    <row r="7" spans="1:10" x14ac:dyDescent="0.25">
      <c r="A7" s="1">
        <f t="shared" si="0"/>
        <v>5</v>
      </c>
      <c r="B7" s="1" t="s">
        <v>18</v>
      </c>
      <c r="C7" s="4"/>
      <c r="D7" s="53" t="s">
        <v>5</v>
      </c>
      <c r="E7" s="73"/>
      <c r="F7" s="74"/>
      <c r="G7" s="16"/>
      <c r="H7" s="1"/>
      <c r="I7" s="1"/>
      <c r="J7" s="19"/>
    </row>
    <row r="8" spans="1:10" x14ac:dyDescent="0.25">
      <c r="A8" s="1">
        <f t="shared" si="0"/>
        <v>6</v>
      </c>
      <c r="B8" s="1" t="s">
        <v>19</v>
      </c>
      <c r="C8" s="4"/>
      <c r="D8" s="53" t="s">
        <v>5</v>
      </c>
      <c r="E8" s="73"/>
      <c r="F8" s="74"/>
      <c r="G8" s="16"/>
      <c r="H8" s="1"/>
      <c r="I8" s="1"/>
      <c r="J8" s="19"/>
    </row>
    <row r="9" spans="1:10" x14ac:dyDescent="0.25">
      <c r="A9" s="1">
        <f t="shared" si="0"/>
        <v>7</v>
      </c>
      <c r="B9" s="1" t="s">
        <v>20</v>
      </c>
      <c r="C9" s="4"/>
      <c r="D9" s="53" t="s">
        <v>5</v>
      </c>
      <c r="E9" s="73"/>
      <c r="F9" s="74"/>
      <c r="G9" s="16"/>
      <c r="H9" s="1"/>
      <c r="I9" s="1"/>
      <c r="J9" s="19"/>
    </row>
    <row r="10" spans="1:10" x14ac:dyDescent="0.25">
      <c r="A10" s="1">
        <f t="shared" si="0"/>
        <v>8</v>
      </c>
      <c r="B10" s="1" t="s">
        <v>21</v>
      </c>
      <c r="C10" s="4"/>
      <c r="D10" s="53" t="s">
        <v>5</v>
      </c>
      <c r="E10" s="73"/>
      <c r="F10" s="74"/>
      <c r="G10" s="16"/>
      <c r="H10" s="1"/>
      <c r="I10" s="1"/>
      <c r="J10" s="19"/>
    </row>
    <row r="11" spans="1:10" x14ac:dyDescent="0.25">
      <c r="A11" s="1">
        <f t="shared" si="0"/>
        <v>9</v>
      </c>
      <c r="B11" s="1" t="s">
        <v>22</v>
      </c>
      <c r="C11" s="4"/>
      <c r="D11" s="53" t="s">
        <v>5</v>
      </c>
      <c r="E11" s="73"/>
      <c r="F11" s="74"/>
      <c r="G11" s="16"/>
      <c r="H11" s="1"/>
      <c r="I11" s="1"/>
      <c r="J11" s="19"/>
    </row>
    <row r="12" spans="1:10" x14ac:dyDescent="0.25">
      <c r="A12" s="1">
        <f t="shared" si="0"/>
        <v>10</v>
      </c>
      <c r="B12" s="1" t="s">
        <v>23</v>
      </c>
      <c r="C12" s="4"/>
      <c r="D12" s="53" t="s">
        <v>5</v>
      </c>
      <c r="E12" s="73"/>
      <c r="F12" s="74"/>
      <c r="G12" s="16"/>
      <c r="H12" s="1"/>
      <c r="I12" s="1"/>
      <c r="J12" s="19"/>
    </row>
    <row r="13" spans="1:10" x14ac:dyDescent="0.25">
      <c r="A13" s="1">
        <f t="shared" si="0"/>
        <v>11</v>
      </c>
      <c r="B13" s="1" t="s">
        <v>24</v>
      </c>
      <c r="C13" s="4"/>
      <c r="D13" s="53" t="s">
        <v>5</v>
      </c>
      <c r="E13" s="73"/>
      <c r="F13" s="74"/>
      <c r="G13" s="16"/>
      <c r="H13" s="1"/>
      <c r="I13" s="1"/>
      <c r="J13" s="19"/>
    </row>
    <row r="14" spans="1:10" x14ac:dyDescent="0.25">
      <c r="A14" s="1">
        <f t="shared" si="0"/>
        <v>12</v>
      </c>
      <c r="B14" s="1" t="s">
        <v>25</v>
      </c>
      <c r="C14" s="4"/>
      <c r="D14" s="53" t="s">
        <v>5</v>
      </c>
      <c r="E14" s="73"/>
      <c r="F14" s="74"/>
      <c r="G14" s="16"/>
      <c r="H14" s="1"/>
      <c r="I14" s="1"/>
      <c r="J14" s="19"/>
    </row>
    <row r="15" spans="1:10" x14ac:dyDescent="0.25">
      <c r="A15" s="1">
        <f t="shared" si="0"/>
        <v>13</v>
      </c>
      <c r="B15" s="1" t="s">
        <v>26</v>
      </c>
      <c r="C15" s="4"/>
      <c r="D15" s="53" t="s">
        <v>5</v>
      </c>
      <c r="E15" s="73"/>
      <c r="F15" s="74"/>
      <c r="G15" s="16"/>
      <c r="H15" s="1"/>
      <c r="I15" s="1"/>
      <c r="J15" s="19"/>
    </row>
    <row r="16" spans="1:10" x14ac:dyDescent="0.25">
      <c r="A16" s="1">
        <f t="shared" si="0"/>
        <v>14</v>
      </c>
      <c r="B16" s="1" t="s">
        <v>27</v>
      </c>
      <c r="C16" s="4"/>
      <c r="D16" s="53" t="s">
        <v>5</v>
      </c>
      <c r="E16" s="73"/>
      <c r="F16" s="74"/>
      <c r="G16" s="16"/>
      <c r="H16" s="1"/>
      <c r="I16" s="1"/>
      <c r="J16" s="19"/>
    </row>
    <row r="17" spans="1:10" x14ac:dyDescent="0.25">
      <c r="A17" s="1">
        <f t="shared" si="0"/>
        <v>15</v>
      </c>
      <c r="B17" s="31" t="s">
        <v>28</v>
      </c>
      <c r="C17" s="4"/>
      <c r="D17" s="53" t="s">
        <v>5</v>
      </c>
      <c r="E17" s="73"/>
      <c r="F17" s="74"/>
      <c r="G17" s="16"/>
      <c r="H17" s="1"/>
      <c r="I17" s="1"/>
      <c r="J17" s="19"/>
    </row>
    <row r="18" spans="1:10" x14ac:dyDescent="0.25">
      <c r="A18" s="1">
        <f t="shared" si="0"/>
        <v>16</v>
      </c>
      <c r="B18" s="1" t="s">
        <v>29</v>
      </c>
      <c r="C18" s="4"/>
      <c r="D18" s="53" t="s">
        <v>7</v>
      </c>
      <c r="E18" s="73"/>
      <c r="F18" s="74"/>
      <c r="G18" s="16"/>
      <c r="H18" s="1"/>
      <c r="I18" s="1"/>
      <c r="J18" s="19"/>
    </row>
    <row r="19" spans="1:10" x14ac:dyDescent="0.25">
      <c r="A19" s="1">
        <f t="shared" si="0"/>
        <v>17</v>
      </c>
      <c r="B19" s="1" t="s">
        <v>30</v>
      </c>
      <c r="C19" s="4"/>
      <c r="D19" s="53" t="s">
        <v>5</v>
      </c>
      <c r="E19" s="73"/>
      <c r="F19" s="74"/>
      <c r="G19" s="16"/>
      <c r="H19" s="1"/>
      <c r="I19" s="1"/>
      <c r="J19" s="19"/>
    </row>
    <row r="20" spans="1:10" x14ac:dyDescent="0.25">
      <c r="A20" s="1">
        <f t="shared" si="0"/>
        <v>18</v>
      </c>
      <c r="B20" s="1" t="s">
        <v>31</v>
      </c>
      <c r="C20" s="4"/>
      <c r="D20" s="53" t="s">
        <v>5</v>
      </c>
      <c r="E20" s="73"/>
      <c r="F20" s="74"/>
      <c r="G20" s="16"/>
      <c r="H20" s="1"/>
      <c r="I20" s="1"/>
      <c r="J20" s="19"/>
    </row>
    <row r="21" spans="1:10" x14ac:dyDescent="0.25">
      <c r="A21" s="1">
        <f t="shared" si="0"/>
        <v>19</v>
      </c>
      <c r="B21" s="1" t="s">
        <v>32</v>
      </c>
      <c r="C21" s="4"/>
      <c r="D21" s="53" t="s">
        <v>5</v>
      </c>
      <c r="E21" s="73"/>
      <c r="F21" s="74"/>
      <c r="G21" s="16"/>
      <c r="H21" s="1"/>
      <c r="I21" s="1"/>
      <c r="J21" s="19"/>
    </row>
    <row r="22" spans="1:10" x14ac:dyDescent="0.25">
      <c r="A22" s="1">
        <f t="shared" si="0"/>
        <v>20</v>
      </c>
      <c r="B22" s="1" t="s">
        <v>33</v>
      </c>
      <c r="C22" s="4"/>
      <c r="D22" s="53" t="s">
        <v>5</v>
      </c>
      <c r="E22" s="73"/>
      <c r="F22" s="74"/>
      <c r="G22" s="16"/>
      <c r="H22" s="1"/>
      <c r="I22" s="1"/>
      <c r="J22" s="19"/>
    </row>
    <row r="23" spans="1:10" x14ac:dyDescent="0.25">
      <c r="A23" s="1">
        <f t="shared" si="0"/>
        <v>21</v>
      </c>
      <c r="B23" s="1" t="s">
        <v>34</v>
      </c>
      <c r="C23" s="4"/>
      <c r="D23" s="53" t="s">
        <v>5</v>
      </c>
      <c r="E23" s="73"/>
      <c r="F23" s="74"/>
      <c r="G23" s="16"/>
      <c r="H23" s="1"/>
      <c r="I23" s="1"/>
      <c r="J23" s="19"/>
    </row>
    <row r="24" spans="1:10" x14ac:dyDescent="0.25">
      <c r="A24" s="1">
        <f t="shared" si="0"/>
        <v>22</v>
      </c>
      <c r="B24" s="1" t="s">
        <v>35</v>
      </c>
      <c r="C24" s="4"/>
      <c r="D24" s="53" t="s">
        <v>5</v>
      </c>
      <c r="E24" s="73"/>
      <c r="F24" s="74"/>
      <c r="G24" s="16"/>
      <c r="H24" s="1"/>
      <c r="I24" s="1"/>
      <c r="J24" s="19"/>
    </row>
    <row r="25" spans="1:10" x14ac:dyDescent="0.25">
      <c r="A25" s="1">
        <f t="shared" si="0"/>
        <v>23</v>
      </c>
      <c r="B25" s="1" t="s">
        <v>36</v>
      </c>
      <c r="C25" s="4"/>
      <c r="D25" s="53" t="s">
        <v>5</v>
      </c>
      <c r="E25" s="73"/>
      <c r="F25" s="74"/>
      <c r="G25" s="16"/>
      <c r="H25" s="1"/>
      <c r="I25" s="1"/>
      <c r="J25" s="19"/>
    </row>
    <row r="26" spans="1:10" x14ac:dyDescent="0.25">
      <c r="A26" s="1">
        <f t="shared" si="0"/>
        <v>24</v>
      </c>
      <c r="B26" s="1" t="s">
        <v>37</v>
      </c>
      <c r="C26" s="4"/>
      <c r="D26" s="53" t="s">
        <v>5</v>
      </c>
      <c r="E26" s="73"/>
      <c r="F26" s="74"/>
      <c r="G26" s="16"/>
      <c r="H26" s="1"/>
      <c r="I26" s="1"/>
      <c r="J26" s="19"/>
    </row>
    <row r="27" spans="1:10" x14ac:dyDescent="0.25">
      <c r="A27" s="1">
        <f t="shared" si="0"/>
        <v>25</v>
      </c>
      <c r="B27" s="1" t="s">
        <v>38</v>
      </c>
      <c r="C27" s="4"/>
      <c r="D27" s="53" t="s">
        <v>5</v>
      </c>
      <c r="E27" s="73"/>
      <c r="F27" s="74"/>
      <c r="G27" s="16"/>
      <c r="H27" s="1"/>
      <c r="I27" s="1"/>
      <c r="J27" s="19"/>
    </row>
    <row r="28" spans="1:10" x14ac:dyDescent="0.25">
      <c r="A28" s="1">
        <f t="shared" si="0"/>
        <v>26</v>
      </c>
      <c r="B28" s="1" t="s">
        <v>39</v>
      </c>
      <c r="C28" s="4"/>
      <c r="D28" s="53" t="s">
        <v>5</v>
      </c>
      <c r="E28" s="73"/>
      <c r="F28" s="74"/>
      <c r="G28" s="16"/>
      <c r="H28" s="1"/>
      <c r="I28" s="1"/>
      <c r="J28" s="19"/>
    </row>
    <row r="29" spans="1:10" x14ac:dyDescent="0.25">
      <c r="A29" s="1">
        <f t="shared" si="0"/>
        <v>27</v>
      </c>
      <c r="B29" s="1" t="s">
        <v>40</v>
      </c>
      <c r="C29" s="4"/>
      <c r="D29" s="53" t="s">
        <v>5</v>
      </c>
      <c r="E29" s="73"/>
      <c r="F29" s="74"/>
      <c r="G29" s="16"/>
      <c r="H29" s="1"/>
      <c r="I29" s="1"/>
      <c r="J29" s="19"/>
    </row>
    <row r="30" spans="1:10" x14ac:dyDescent="0.25">
      <c r="A30" s="1">
        <f t="shared" si="0"/>
        <v>28</v>
      </c>
      <c r="B30" s="1" t="s">
        <v>41</v>
      </c>
      <c r="C30" s="4"/>
      <c r="D30" s="53" t="s">
        <v>5</v>
      </c>
      <c r="E30" s="73"/>
      <c r="F30" s="74"/>
      <c r="G30" s="16"/>
      <c r="H30" s="1"/>
      <c r="I30" s="1"/>
      <c r="J30" s="19"/>
    </row>
    <row r="31" spans="1:10" x14ac:dyDescent="0.25">
      <c r="A31" s="1">
        <f t="shared" si="0"/>
        <v>29</v>
      </c>
      <c r="B31" s="1" t="s">
        <v>42</v>
      </c>
      <c r="C31" s="4"/>
      <c r="D31" s="53" t="s">
        <v>5</v>
      </c>
      <c r="E31" s="73"/>
      <c r="F31" s="74"/>
      <c r="G31" s="16"/>
      <c r="H31" s="1"/>
      <c r="I31" s="1"/>
      <c r="J31" s="19"/>
    </row>
    <row r="32" spans="1:10" x14ac:dyDescent="0.25">
      <c r="A32" s="1">
        <f t="shared" si="0"/>
        <v>30</v>
      </c>
      <c r="B32" s="1" t="s">
        <v>43</v>
      </c>
      <c r="C32" s="4"/>
      <c r="D32" s="53" t="s">
        <v>5</v>
      </c>
      <c r="E32" s="73"/>
      <c r="F32" s="74"/>
      <c r="G32" s="16"/>
      <c r="H32" s="1"/>
      <c r="I32" s="1"/>
      <c r="J32" s="19"/>
    </row>
    <row r="33" spans="1:10" x14ac:dyDescent="0.25">
      <c r="A33" s="1">
        <f t="shared" si="0"/>
        <v>31</v>
      </c>
      <c r="B33" s="1" t="s">
        <v>44</v>
      </c>
      <c r="C33" s="4"/>
      <c r="D33" s="53" t="s">
        <v>5</v>
      </c>
      <c r="E33" s="73"/>
      <c r="F33" s="74"/>
      <c r="G33" s="16"/>
      <c r="H33" s="1"/>
      <c r="I33" s="1"/>
      <c r="J33" s="19"/>
    </row>
    <row r="34" spans="1:10" x14ac:dyDescent="0.25">
      <c r="A34" s="1">
        <f t="shared" si="0"/>
        <v>32</v>
      </c>
      <c r="B34" s="1" t="s">
        <v>45</v>
      </c>
      <c r="C34" s="4"/>
      <c r="D34" s="53" t="s">
        <v>5</v>
      </c>
      <c r="E34" s="73"/>
      <c r="F34" s="74"/>
      <c r="G34" s="16"/>
      <c r="H34" s="1"/>
      <c r="I34" s="1"/>
      <c r="J34" s="19"/>
    </row>
    <row r="35" spans="1:10" x14ac:dyDescent="0.25">
      <c r="A35" s="1">
        <f t="shared" si="0"/>
        <v>33</v>
      </c>
      <c r="B35" s="1" t="s">
        <v>46</v>
      </c>
      <c r="C35" s="4"/>
      <c r="D35" s="53" t="s">
        <v>5</v>
      </c>
      <c r="E35" s="73"/>
      <c r="F35" s="74"/>
      <c r="G35" s="16"/>
      <c r="H35" s="1"/>
      <c r="I35" s="1"/>
      <c r="J35" s="19"/>
    </row>
    <row r="36" spans="1:10" x14ac:dyDescent="0.25">
      <c r="A36" s="1">
        <f t="shared" si="0"/>
        <v>34</v>
      </c>
      <c r="B36" s="1" t="s">
        <v>47</v>
      </c>
      <c r="C36" s="4"/>
      <c r="D36" s="53" t="s">
        <v>5</v>
      </c>
      <c r="E36" s="73"/>
      <c r="F36" s="74"/>
      <c r="G36" s="16"/>
      <c r="H36" s="1"/>
      <c r="I36" s="1"/>
      <c r="J36" s="19"/>
    </row>
    <row r="37" spans="1:10" x14ac:dyDescent="0.25">
      <c r="A37" s="1">
        <f t="shared" si="0"/>
        <v>35</v>
      </c>
      <c r="B37" s="1" t="s">
        <v>48</v>
      </c>
      <c r="C37" s="4"/>
      <c r="D37" s="53" t="s">
        <v>5</v>
      </c>
      <c r="E37" s="73"/>
      <c r="F37" s="74"/>
      <c r="G37" s="16"/>
      <c r="H37" s="1"/>
      <c r="I37" s="1"/>
      <c r="J37" s="19"/>
    </row>
    <row r="38" spans="1:10" x14ac:dyDescent="0.25">
      <c r="A38" s="1">
        <f t="shared" si="0"/>
        <v>36</v>
      </c>
      <c r="B38" s="1" t="s">
        <v>49</v>
      </c>
      <c r="C38" s="4"/>
      <c r="D38" s="53" t="s">
        <v>5</v>
      </c>
      <c r="E38" s="73"/>
      <c r="F38" s="74"/>
      <c r="G38" s="16"/>
      <c r="H38" s="1"/>
      <c r="I38" s="1"/>
      <c r="J38" s="19"/>
    </row>
    <row r="39" spans="1:10" x14ac:dyDescent="0.25">
      <c r="A39" s="1">
        <f t="shared" si="0"/>
        <v>37</v>
      </c>
      <c r="B39" s="1" t="s">
        <v>50</v>
      </c>
      <c r="C39" s="4"/>
      <c r="D39" s="53" t="s">
        <v>5</v>
      </c>
      <c r="E39" s="73"/>
      <c r="F39" s="74"/>
      <c r="G39" s="16"/>
      <c r="H39" s="1"/>
      <c r="I39" s="1"/>
      <c r="J39" s="19"/>
    </row>
    <row r="40" spans="1:10" x14ac:dyDescent="0.25">
      <c r="A40" s="1">
        <f t="shared" si="0"/>
        <v>38</v>
      </c>
      <c r="B40" s="3" t="s">
        <v>51</v>
      </c>
      <c r="C40" s="5"/>
      <c r="D40" s="54" t="s">
        <v>5</v>
      </c>
      <c r="E40" s="73"/>
      <c r="F40" s="74"/>
      <c r="G40" s="16"/>
      <c r="H40" s="1"/>
      <c r="I40" s="1"/>
      <c r="J40" s="19"/>
    </row>
    <row r="41" spans="1:10" x14ac:dyDescent="0.25">
      <c r="A41" s="1">
        <f t="shared" si="0"/>
        <v>39</v>
      </c>
      <c r="B41" s="1" t="s">
        <v>52</v>
      </c>
      <c r="C41" s="4"/>
      <c r="D41" s="53" t="s">
        <v>5</v>
      </c>
      <c r="E41" s="73"/>
      <c r="F41" s="74"/>
      <c r="G41" s="16"/>
      <c r="H41" s="1"/>
      <c r="I41" s="1"/>
      <c r="J41" s="19"/>
    </row>
    <row r="42" spans="1:10" x14ac:dyDescent="0.25">
      <c r="A42" s="1">
        <f t="shared" si="0"/>
        <v>40</v>
      </c>
      <c r="B42" s="1" t="s">
        <v>53</v>
      </c>
      <c r="C42" s="4"/>
      <c r="D42" s="53" t="s">
        <v>5</v>
      </c>
      <c r="E42" s="73"/>
      <c r="F42" s="74"/>
      <c r="G42" s="16"/>
      <c r="H42" s="1"/>
      <c r="I42" s="1"/>
      <c r="J42" s="19"/>
    </row>
    <row r="43" spans="1:10" x14ac:dyDescent="0.25">
      <c r="A43" s="1">
        <f t="shared" si="0"/>
        <v>41</v>
      </c>
      <c r="B43" s="1" t="s">
        <v>54</v>
      </c>
      <c r="C43" s="4"/>
      <c r="D43" s="53" t="s">
        <v>5</v>
      </c>
      <c r="E43" s="73"/>
      <c r="F43" s="74"/>
      <c r="G43" s="16"/>
      <c r="H43" s="1"/>
      <c r="I43" s="1"/>
      <c r="J43" s="19"/>
    </row>
    <row r="44" spans="1:10" x14ac:dyDescent="0.25">
      <c r="A44" s="1">
        <f t="shared" si="0"/>
        <v>42</v>
      </c>
      <c r="B44" s="1" t="s">
        <v>55</v>
      </c>
      <c r="C44" s="4"/>
      <c r="D44" s="53" t="s">
        <v>5</v>
      </c>
      <c r="E44" s="73"/>
      <c r="F44" s="74"/>
      <c r="G44" s="16"/>
      <c r="H44" s="1"/>
      <c r="I44" s="1"/>
      <c r="J44" s="19"/>
    </row>
    <row r="45" spans="1:10" x14ac:dyDescent="0.25">
      <c r="A45" s="1">
        <f t="shared" si="0"/>
        <v>43</v>
      </c>
      <c r="B45" s="1" t="s">
        <v>56</v>
      </c>
      <c r="C45" s="4"/>
      <c r="D45" s="53" t="s">
        <v>5</v>
      </c>
      <c r="E45" s="73"/>
      <c r="F45" s="74"/>
      <c r="G45" s="16"/>
      <c r="H45" s="1"/>
      <c r="I45" s="1"/>
      <c r="J45" s="19"/>
    </row>
    <row r="46" spans="1:10" x14ac:dyDescent="0.25">
      <c r="A46" s="1">
        <f t="shared" si="0"/>
        <v>44</v>
      </c>
      <c r="B46" s="1" t="s">
        <v>57</v>
      </c>
      <c r="C46" s="4"/>
      <c r="D46" s="53" t="s">
        <v>5</v>
      </c>
      <c r="E46" s="73"/>
      <c r="F46" s="74"/>
      <c r="G46" s="16"/>
      <c r="H46" s="1"/>
      <c r="I46" s="1"/>
      <c r="J46" s="19"/>
    </row>
    <row r="47" spans="1:10" x14ac:dyDescent="0.25">
      <c r="A47" s="1">
        <f t="shared" si="0"/>
        <v>45</v>
      </c>
      <c r="B47" s="1" t="s">
        <v>58</v>
      </c>
      <c r="C47" s="4"/>
      <c r="D47" s="53" t="s">
        <v>5</v>
      </c>
      <c r="E47" s="73"/>
      <c r="F47" s="74"/>
      <c r="G47" s="16"/>
      <c r="H47" s="1"/>
      <c r="I47" s="1"/>
      <c r="J47" s="19"/>
    </row>
    <row r="48" spans="1:10" x14ac:dyDescent="0.25">
      <c r="A48" s="1">
        <f t="shared" si="0"/>
        <v>46</v>
      </c>
      <c r="B48" s="1" t="s">
        <v>59</v>
      </c>
      <c r="C48" s="4"/>
      <c r="D48" s="53" t="s">
        <v>5</v>
      </c>
      <c r="E48" s="73"/>
      <c r="F48" s="74"/>
      <c r="G48" s="16"/>
      <c r="H48" s="1"/>
      <c r="I48" s="1"/>
      <c r="J48" s="19"/>
    </row>
    <row r="49" spans="1:10" x14ac:dyDescent="0.25">
      <c r="A49" s="1">
        <f t="shared" si="0"/>
        <v>47</v>
      </c>
      <c r="B49" s="1" t="s">
        <v>40</v>
      </c>
      <c r="C49" s="4"/>
      <c r="D49" s="53" t="s">
        <v>5</v>
      </c>
      <c r="E49" s="73"/>
      <c r="F49" s="74"/>
      <c r="G49" s="16"/>
      <c r="H49" s="1"/>
      <c r="I49" s="1"/>
      <c r="J49" s="19"/>
    </row>
    <row r="50" spans="1:10" x14ac:dyDescent="0.25">
      <c r="A50" s="1">
        <f t="shared" si="0"/>
        <v>48</v>
      </c>
      <c r="B50" s="1" t="s">
        <v>60</v>
      </c>
      <c r="C50" s="4"/>
      <c r="D50" s="53" t="s">
        <v>5</v>
      </c>
      <c r="E50" s="73"/>
      <c r="F50" s="74"/>
      <c r="G50" s="16"/>
      <c r="H50" s="1"/>
      <c r="I50" s="1"/>
      <c r="J50" s="19"/>
    </row>
    <row r="51" spans="1:10" x14ac:dyDescent="0.25">
      <c r="A51" s="1">
        <f t="shared" si="0"/>
        <v>49</v>
      </c>
      <c r="B51" s="1" t="s">
        <v>61</v>
      </c>
      <c r="C51" s="4"/>
      <c r="D51" s="53" t="s">
        <v>5</v>
      </c>
      <c r="E51" s="73"/>
      <c r="F51" s="74"/>
      <c r="G51" s="16"/>
      <c r="H51" s="1"/>
      <c r="I51" s="1"/>
      <c r="J51" s="19"/>
    </row>
    <row r="52" spans="1:10" x14ac:dyDescent="0.25">
      <c r="A52" s="1">
        <f t="shared" si="0"/>
        <v>50</v>
      </c>
      <c r="B52" s="3" t="s">
        <v>62</v>
      </c>
      <c r="C52" s="5"/>
      <c r="D52" s="54" t="s">
        <v>5</v>
      </c>
      <c r="E52" s="73"/>
      <c r="F52" s="74"/>
      <c r="G52" s="16"/>
      <c r="H52" s="1"/>
      <c r="I52" s="1"/>
      <c r="J52" s="19"/>
    </row>
    <row r="53" spans="1:10" x14ac:dyDescent="0.25">
      <c r="A53" s="1">
        <f t="shared" si="0"/>
        <v>51</v>
      </c>
      <c r="B53" s="1" t="s">
        <v>63</v>
      </c>
      <c r="C53" s="4"/>
      <c r="D53" s="53" t="s">
        <v>5</v>
      </c>
      <c r="E53" s="73"/>
      <c r="F53" s="74"/>
      <c r="G53" s="16"/>
      <c r="H53" s="1"/>
      <c r="I53" s="1"/>
      <c r="J53" s="19"/>
    </row>
    <row r="54" spans="1:10" x14ac:dyDescent="0.25">
      <c r="A54" s="1">
        <f t="shared" si="0"/>
        <v>52</v>
      </c>
      <c r="B54" s="1" t="s">
        <v>64</v>
      </c>
      <c r="C54" s="4"/>
      <c r="D54" s="53" t="s">
        <v>5</v>
      </c>
      <c r="E54" s="73"/>
      <c r="F54" s="74"/>
      <c r="G54" s="16"/>
      <c r="H54" s="1"/>
      <c r="I54" s="1"/>
      <c r="J54" s="19"/>
    </row>
    <row r="55" spans="1:10" x14ac:dyDescent="0.25">
      <c r="A55" s="1">
        <f t="shared" si="0"/>
        <v>53</v>
      </c>
      <c r="B55" s="1" t="s">
        <v>65</v>
      </c>
      <c r="C55" s="4"/>
      <c r="D55" s="53" t="s">
        <v>5</v>
      </c>
      <c r="E55" s="73"/>
      <c r="F55" s="74"/>
      <c r="G55" s="16"/>
      <c r="H55" s="1"/>
      <c r="I55" s="1"/>
      <c r="J55" s="19"/>
    </row>
    <row r="56" spans="1:10" x14ac:dyDescent="0.25">
      <c r="A56" s="1">
        <f t="shared" si="0"/>
        <v>54</v>
      </c>
      <c r="B56" s="1" t="s">
        <v>66</v>
      </c>
      <c r="C56" s="4"/>
      <c r="D56" s="53" t="s">
        <v>5</v>
      </c>
      <c r="E56" s="73"/>
      <c r="F56" s="74"/>
      <c r="G56" s="16"/>
      <c r="H56" s="1"/>
      <c r="I56" s="1"/>
      <c r="J56" s="19"/>
    </row>
    <row r="57" spans="1:10" x14ac:dyDescent="0.25">
      <c r="A57" s="1">
        <f t="shared" si="0"/>
        <v>55</v>
      </c>
      <c r="B57" s="1" t="s">
        <v>67</v>
      </c>
      <c r="C57" s="4"/>
      <c r="D57" s="53" t="s">
        <v>5</v>
      </c>
      <c r="E57" s="73"/>
      <c r="F57" s="74"/>
      <c r="G57" s="16"/>
      <c r="H57" s="1"/>
      <c r="I57" s="1"/>
      <c r="J57" s="19"/>
    </row>
    <row r="58" spans="1:10" x14ac:dyDescent="0.25">
      <c r="A58" s="1">
        <f t="shared" si="0"/>
        <v>56</v>
      </c>
      <c r="B58" s="1" t="s">
        <v>68</v>
      </c>
      <c r="C58" s="4"/>
      <c r="D58" s="53" t="s">
        <v>5</v>
      </c>
      <c r="E58" s="73"/>
      <c r="F58" s="74"/>
      <c r="G58" s="16"/>
      <c r="H58" s="1"/>
      <c r="I58" s="1"/>
      <c r="J58" s="19"/>
    </row>
    <row r="59" spans="1:10" x14ac:dyDescent="0.25">
      <c r="A59" s="1">
        <f t="shared" si="0"/>
        <v>57</v>
      </c>
      <c r="B59" s="1" t="s">
        <v>69</v>
      </c>
      <c r="C59" s="4"/>
      <c r="D59" s="53" t="s">
        <v>5</v>
      </c>
      <c r="E59" s="73"/>
      <c r="F59" s="74"/>
      <c r="G59" s="16"/>
      <c r="H59" s="1"/>
      <c r="I59" s="1"/>
      <c r="J59" s="19"/>
    </row>
    <row r="60" spans="1:10" x14ac:dyDescent="0.25">
      <c r="A60" s="1">
        <f t="shared" si="0"/>
        <v>58</v>
      </c>
      <c r="B60" s="1" t="s">
        <v>70</v>
      </c>
      <c r="C60" s="4" t="s">
        <v>90</v>
      </c>
      <c r="D60" s="53" t="s">
        <v>5</v>
      </c>
      <c r="E60" s="73"/>
      <c r="F60" s="74"/>
      <c r="G60" s="16"/>
      <c r="H60" s="1"/>
      <c r="I60" s="1"/>
      <c r="J60" s="19"/>
    </row>
    <row r="61" spans="1:10" x14ac:dyDescent="0.25">
      <c r="A61" s="1">
        <f t="shared" si="0"/>
        <v>59</v>
      </c>
      <c r="B61" s="1" t="s">
        <v>71</v>
      </c>
      <c r="C61" s="4" t="s">
        <v>89</v>
      </c>
      <c r="D61" s="53" t="s">
        <v>5</v>
      </c>
      <c r="E61" s="73"/>
      <c r="F61" s="74"/>
      <c r="G61" s="16"/>
      <c r="H61" s="1"/>
      <c r="I61" s="1"/>
      <c r="J61" s="19"/>
    </row>
    <row r="62" spans="1:10" x14ac:dyDescent="0.25">
      <c r="A62" s="1">
        <f t="shared" si="0"/>
        <v>60</v>
      </c>
      <c r="B62" s="1" t="s">
        <v>72</v>
      </c>
      <c r="C62" s="4" t="s">
        <v>88</v>
      </c>
      <c r="D62" s="53" t="s">
        <v>5</v>
      </c>
      <c r="E62" s="73"/>
      <c r="F62" s="74"/>
      <c r="G62" s="16"/>
      <c r="H62" s="1"/>
      <c r="I62" s="1"/>
      <c r="J62" s="19"/>
    </row>
    <row r="63" spans="1:10" x14ac:dyDescent="0.25">
      <c r="A63" s="1">
        <f t="shared" si="0"/>
        <v>61</v>
      </c>
      <c r="B63" s="1" t="s">
        <v>73</v>
      </c>
      <c r="C63" s="4" t="s">
        <v>87</v>
      </c>
      <c r="D63" s="53" t="s">
        <v>5</v>
      </c>
      <c r="E63" s="73"/>
      <c r="F63" s="74"/>
      <c r="G63" s="16"/>
      <c r="H63" s="1"/>
      <c r="I63" s="1"/>
      <c r="J63" s="19"/>
    </row>
    <row r="64" spans="1:10" x14ac:dyDescent="0.25">
      <c r="A64" s="1">
        <f t="shared" si="0"/>
        <v>62</v>
      </c>
      <c r="B64" s="1" t="s">
        <v>74</v>
      </c>
      <c r="C64" s="4" t="s">
        <v>86</v>
      </c>
      <c r="D64" s="53" t="s">
        <v>5</v>
      </c>
      <c r="E64" s="73"/>
      <c r="F64" s="74"/>
      <c r="G64" s="16"/>
      <c r="H64" s="1"/>
      <c r="I64" s="1"/>
      <c r="J64" s="19"/>
    </row>
    <row r="65" spans="1:10" x14ac:dyDescent="0.25">
      <c r="A65" s="1">
        <f t="shared" si="0"/>
        <v>63</v>
      </c>
      <c r="B65" s="1" t="s">
        <v>84</v>
      </c>
      <c r="C65" s="4" t="s">
        <v>85</v>
      </c>
      <c r="D65" s="53" t="s">
        <v>5</v>
      </c>
      <c r="E65" s="73"/>
      <c r="F65" s="74"/>
      <c r="G65" s="16"/>
      <c r="H65" s="1"/>
      <c r="I65" s="1"/>
      <c r="J65" s="19"/>
    </row>
    <row r="66" spans="1:10" x14ac:dyDescent="0.25">
      <c r="A66" s="1">
        <f t="shared" si="0"/>
        <v>64</v>
      </c>
      <c r="B66" s="1" t="s">
        <v>75</v>
      </c>
      <c r="C66" s="4" t="s">
        <v>83</v>
      </c>
      <c r="D66" s="53" t="s">
        <v>5</v>
      </c>
      <c r="E66" s="73"/>
      <c r="F66" s="74"/>
      <c r="G66" s="16"/>
      <c r="H66" s="1"/>
      <c r="I66" s="1"/>
      <c r="J66" s="19"/>
    </row>
    <row r="67" spans="1:10" x14ac:dyDescent="0.25">
      <c r="A67" s="1">
        <f t="shared" si="0"/>
        <v>65</v>
      </c>
      <c r="B67" s="1" t="s">
        <v>76</v>
      </c>
      <c r="C67" s="4" t="s">
        <v>82</v>
      </c>
      <c r="D67" s="53" t="s">
        <v>5</v>
      </c>
      <c r="E67" s="73"/>
      <c r="F67" s="74"/>
      <c r="G67" s="16"/>
      <c r="H67" s="1"/>
      <c r="I67" s="1"/>
      <c r="J67" s="19"/>
    </row>
    <row r="68" spans="1:10" x14ac:dyDescent="0.25">
      <c r="A68" s="1">
        <f t="shared" si="0"/>
        <v>66</v>
      </c>
      <c r="B68" s="1" t="s">
        <v>77</v>
      </c>
      <c r="C68" s="4" t="s">
        <v>6</v>
      </c>
      <c r="D68" s="53" t="s">
        <v>5</v>
      </c>
      <c r="E68" s="73"/>
      <c r="F68" s="74"/>
      <c r="G68" s="16"/>
      <c r="H68" s="1"/>
      <c r="I68" s="1"/>
      <c r="J68" s="19"/>
    </row>
    <row r="69" spans="1:10" x14ac:dyDescent="0.25">
      <c r="A69" s="1">
        <f>A68+1</f>
        <v>67</v>
      </c>
      <c r="B69" s="1" t="s">
        <v>78</v>
      </c>
      <c r="C69" s="4" t="s">
        <v>79</v>
      </c>
      <c r="D69" s="53" t="s">
        <v>5</v>
      </c>
      <c r="E69" s="73"/>
      <c r="F69" s="74"/>
      <c r="G69" s="16"/>
      <c r="H69" s="1"/>
      <c r="I69" s="1"/>
      <c r="J69" s="19"/>
    </row>
    <row r="70" spans="1:10" x14ac:dyDescent="0.25">
      <c r="A70" s="1">
        <f>A69+1</f>
        <v>68</v>
      </c>
      <c r="B70" s="1" t="s">
        <v>80</v>
      </c>
      <c r="C70" s="4" t="s">
        <v>81</v>
      </c>
      <c r="D70" s="53" t="s">
        <v>5</v>
      </c>
      <c r="E70" s="73"/>
      <c r="F70" s="74"/>
      <c r="G70" s="16"/>
      <c r="H70" s="1"/>
      <c r="I70" s="1"/>
      <c r="J70" s="19"/>
    </row>
    <row r="71" spans="1:10" x14ac:dyDescent="0.25">
      <c r="A71" s="1">
        <f>A204+1</f>
        <v>70</v>
      </c>
      <c r="B71" s="1"/>
      <c r="C71" s="4"/>
      <c r="D71" s="53" t="s">
        <v>5</v>
      </c>
      <c r="E71" s="73"/>
      <c r="F71" s="74"/>
      <c r="G71" s="16"/>
      <c r="H71" s="1"/>
      <c r="I71" s="1"/>
      <c r="J71" s="19"/>
    </row>
    <row r="72" spans="1:10" ht="15.75" thickBot="1" x14ac:dyDescent="0.3">
      <c r="A72" s="13">
        <f>A71+1</f>
        <v>71</v>
      </c>
      <c r="B72" s="8"/>
      <c r="C72" s="2"/>
      <c r="D72" s="55" t="s">
        <v>5</v>
      </c>
      <c r="E72" s="73"/>
      <c r="F72" s="75"/>
      <c r="G72" s="61"/>
      <c r="H72" s="13"/>
      <c r="I72" s="13"/>
      <c r="J72" s="24"/>
    </row>
    <row r="73" spans="1:10" ht="15.75" thickBot="1" x14ac:dyDescent="0.3">
      <c r="A73" s="64" t="s">
        <v>3</v>
      </c>
      <c r="B73" s="63" t="s">
        <v>0</v>
      </c>
      <c r="C73" s="65" t="s">
        <v>1</v>
      </c>
      <c r="D73" s="14" t="s">
        <v>2</v>
      </c>
      <c r="E73" s="76"/>
      <c r="F73" s="77"/>
      <c r="G73" s="11"/>
      <c r="H73" s="66"/>
      <c r="I73" s="66"/>
      <c r="J73" s="67"/>
    </row>
    <row r="74" spans="1:10" x14ac:dyDescent="0.25">
      <c r="A74" s="3">
        <v>1</v>
      </c>
      <c r="B74" s="56" t="s">
        <v>102</v>
      </c>
      <c r="C74" s="57" t="s">
        <v>103</v>
      </c>
      <c r="D74" s="54" t="s">
        <v>334</v>
      </c>
      <c r="E74" s="73"/>
      <c r="F74" s="78"/>
      <c r="G74" s="62"/>
      <c r="H74" s="3"/>
      <c r="I74" s="3"/>
      <c r="J74" s="23"/>
    </row>
    <row r="75" spans="1:10" x14ac:dyDescent="0.25">
      <c r="A75" s="1">
        <f t="shared" ref="A75:A138" si="1">A74+1</f>
        <v>2</v>
      </c>
      <c r="B75" s="31" t="s">
        <v>104</v>
      </c>
      <c r="C75" s="58"/>
      <c r="D75" s="53" t="s">
        <v>334</v>
      </c>
      <c r="E75" s="73"/>
      <c r="F75" s="74"/>
      <c r="G75" s="16"/>
      <c r="H75" s="1"/>
      <c r="I75" s="1"/>
      <c r="J75" s="19"/>
    </row>
    <row r="76" spans="1:10" x14ac:dyDescent="0.25">
      <c r="A76" s="1">
        <f t="shared" si="1"/>
        <v>3</v>
      </c>
      <c r="B76" s="31" t="s">
        <v>105</v>
      </c>
      <c r="C76" s="58" t="s">
        <v>106</v>
      </c>
      <c r="D76" s="53" t="s">
        <v>335</v>
      </c>
      <c r="E76" s="73"/>
      <c r="F76" s="74"/>
      <c r="G76" s="16"/>
      <c r="H76" s="1"/>
      <c r="I76" s="1"/>
      <c r="J76" s="19"/>
    </row>
    <row r="77" spans="1:10" x14ac:dyDescent="0.25">
      <c r="A77" s="1">
        <f t="shared" si="1"/>
        <v>4</v>
      </c>
      <c r="B77" s="31" t="s">
        <v>107</v>
      </c>
      <c r="C77" s="58"/>
      <c r="D77" s="53" t="s">
        <v>335</v>
      </c>
      <c r="E77" s="73"/>
      <c r="F77" s="74"/>
      <c r="G77" s="16"/>
      <c r="H77" s="1"/>
      <c r="I77" s="1"/>
      <c r="J77" s="19"/>
    </row>
    <row r="78" spans="1:10" x14ac:dyDescent="0.25">
      <c r="A78" s="1">
        <f t="shared" si="1"/>
        <v>5</v>
      </c>
      <c r="B78" s="31" t="s">
        <v>108</v>
      </c>
      <c r="C78" s="58" t="s">
        <v>111</v>
      </c>
      <c r="D78" s="53" t="s">
        <v>334</v>
      </c>
      <c r="E78" s="73"/>
      <c r="F78" s="74"/>
      <c r="G78" s="16"/>
      <c r="H78" s="1"/>
      <c r="I78" s="1"/>
      <c r="J78" s="19"/>
    </row>
    <row r="79" spans="1:10" x14ac:dyDescent="0.25">
      <c r="A79" s="1">
        <f t="shared" si="1"/>
        <v>6</v>
      </c>
      <c r="B79" s="31" t="s">
        <v>109</v>
      </c>
      <c r="C79" s="58" t="s">
        <v>110</v>
      </c>
      <c r="D79" s="53" t="s">
        <v>334</v>
      </c>
      <c r="E79" s="73"/>
      <c r="F79" s="74"/>
      <c r="G79" s="16"/>
      <c r="H79" s="1"/>
      <c r="I79" s="1"/>
      <c r="J79" s="19"/>
    </row>
    <row r="80" spans="1:10" x14ac:dyDescent="0.25">
      <c r="A80" s="1">
        <f t="shared" si="1"/>
        <v>7</v>
      </c>
      <c r="B80" s="31" t="s">
        <v>112</v>
      </c>
      <c r="C80" s="58" t="s">
        <v>113</v>
      </c>
      <c r="D80" s="53" t="s">
        <v>335</v>
      </c>
      <c r="E80" s="73"/>
      <c r="F80" s="74"/>
      <c r="G80" s="16"/>
      <c r="H80" s="1"/>
      <c r="I80" s="1"/>
      <c r="J80" s="19"/>
    </row>
    <row r="81" spans="1:10" x14ac:dyDescent="0.25">
      <c r="A81" s="1">
        <f t="shared" si="1"/>
        <v>8</v>
      </c>
      <c r="B81" s="31" t="s">
        <v>114</v>
      </c>
      <c r="C81" s="58" t="s">
        <v>115</v>
      </c>
      <c r="D81" s="53" t="s">
        <v>335</v>
      </c>
      <c r="E81" s="73"/>
      <c r="F81" s="74"/>
      <c r="G81" s="16"/>
      <c r="H81" s="1"/>
      <c r="I81" s="1"/>
      <c r="J81" s="19"/>
    </row>
    <row r="82" spans="1:10" x14ac:dyDescent="0.25">
      <c r="A82" s="1">
        <f t="shared" si="1"/>
        <v>9</v>
      </c>
      <c r="B82" s="31" t="s">
        <v>116</v>
      </c>
      <c r="C82" s="58" t="s">
        <v>106</v>
      </c>
      <c r="D82" s="53" t="s">
        <v>334</v>
      </c>
      <c r="E82" s="73"/>
      <c r="F82" s="74"/>
      <c r="G82" s="16"/>
      <c r="H82" s="1"/>
      <c r="I82" s="1"/>
      <c r="J82" s="19"/>
    </row>
    <row r="83" spans="1:10" x14ac:dyDescent="0.25">
      <c r="A83" s="1">
        <f t="shared" si="1"/>
        <v>10</v>
      </c>
      <c r="B83" s="31" t="s">
        <v>117</v>
      </c>
      <c r="C83" s="58" t="s">
        <v>118</v>
      </c>
      <c r="D83" s="53" t="s">
        <v>335</v>
      </c>
      <c r="E83" s="73"/>
      <c r="F83" s="74"/>
      <c r="G83" s="16"/>
      <c r="H83" s="1"/>
      <c r="I83" s="1"/>
      <c r="J83" s="19"/>
    </row>
    <row r="84" spans="1:10" x14ac:dyDescent="0.25">
      <c r="A84" s="1">
        <f t="shared" si="1"/>
        <v>11</v>
      </c>
      <c r="B84" s="31" t="s">
        <v>119</v>
      </c>
      <c r="C84" s="58" t="s">
        <v>120</v>
      </c>
      <c r="D84" s="53" t="s">
        <v>335</v>
      </c>
      <c r="E84" s="73"/>
      <c r="F84" s="74"/>
      <c r="G84" s="16"/>
      <c r="H84" s="1"/>
      <c r="I84" s="1"/>
      <c r="J84" s="19"/>
    </row>
    <row r="85" spans="1:10" x14ac:dyDescent="0.25">
      <c r="A85" s="1">
        <f t="shared" si="1"/>
        <v>12</v>
      </c>
      <c r="B85" s="31" t="s">
        <v>121</v>
      </c>
      <c r="C85" s="58" t="s">
        <v>122</v>
      </c>
      <c r="D85" s="53" t="s">
        <v>335</v>
      </c>
      <c r="E85" s="73"/>
      <c r="F85" s="74"/>
      <c r="G85" s="16"/>
      <c r="H85" s="1"/>
      <c r="I85" s="1"/>
      <c r="J85" s="19"/>
    </row>
    <row r="86" spans="1:10" x14ac:dyDescent="0.25">
      <c r="A86" s="1">
        <f t="shared" si="1"/>
        <v>13</v>
      </c>
      <c r="B86" s="31" t="s">
        <v>123</v>
      </c>
      <c r="C86" s="58" t="s">
        <v>124</v>
      </c>
      <c r="D86" s="53" t="s">
        <v>335</v>
      </c>
      <c r="E86" s="73"/>
      <c r="F86" s="74"/>
      <c r="G86" s="16"/>
      <c r="H86" s="1"/>
      <c r="I86" s="1"/>
      <c r="J86" s="19"/>
    </row>
    <row r="87" spans="1:10" x14ac:dyDescent="0.25">
      <c r="A87" s="1">
        <f t="shared" si="1"/>
        <v>14</v>
      </c>
      <c r="B87" s="31" t="s">
        <v>125</v>
      </c>
      <c r="C87" s="58" t="s">
        <v>126</v>
      </c>
      <c r="D87" s="53" t="s">
        <v>335</v>
      </c>
      <c r="E87" s="73"/>
      <c r="F87" s="74"/>
      <c r="G87" s="16"/>
      <c r="H87" s="1"/>
      <c r="I87" s="1"/>
      <c r="J87" s="19"/>
    </row>
    <row r="88" spans="1:10" x14ac:dyDescent="0.25">
      <c r="A88" s="1">
        <f t="shared" si="1"/>
        <v>15</v>
      </c>
      <c r="B88" s="31" t="s">
        <v>127</v>
      </c>
      <c r="C88" s="58" t="s">
        <v>128</v>
      </c>
      <c r="D88" s="53" t="s">
        <v>335</v>
      </c>
      <c r="E88" s="73"/>
      <c r="F88" s="74"/>
      <c r="G88" s="16"/>
      <c r="H88" s="1"/>
      <c r="I88" s="1"/>
      <c r="J88" s="19"/>
    </row>
    <row r="89" spans="1:10" x14ac:dyDescent="0.25">
      <c r="A89" s="1">
        <f t="shared" si="1"/>
        <v>16</v>
      </c>
      <c r="B89" s="31" t="s">
        <v>129</v>
      </c>
      <c r="C89" s="58" t="s">
        <v>130</v>
      </c>
      <c r="D89" s="53" t="s">
        <v>335</v>
      </c>
      <c r="E89" s="73"/>
      <c r="F89" s="74"/>
      <c r="G89" s="16"/>
      <c r="H89" s="1"/>
      <c r="I89" s="1"/>
      <c r="J89" s="19"/>
    </row>
    <row r="90" spans="1:10" x14ac:dyDescent="0.25">
      <c r="A90" s="1">
        <f t="shared" si="1"/>
        <v>17</v>
      </c>
      <c r="B90" s="31" t="s">
        <v>131</v>
      </c>
      <c r="C90" s="58" t="s">
        <v>132</v>
      </c>
      <c r="D90" s="53" t="s">
        <v>335</v>
      </c>
      <c r="E90" s="73"/>
      <c r="F90" s="74"/>
      <c r="G90" s="16"/>
      <c r="H90" s="1"/>
      <c r="I90" s="1"/>
      <c r="J90" s="19"/>
    </row>
    <row r="91" spans="1:10" x14ac:dyDescent="0.25">
      <c r="A91" s="1">
        <f t="shared" si="1"/>
        <v>18</v>
      </c>
      <c r="B91" s="31" t="s">
        <v>133</v>
      </c>
      <c r="C91" s="58" t="s">
        <v>134</v>
      </c>
      <c r="D91" s="53" t="s">
        <v>335</v>
      </c>
      <c r="E91" s="73"/>
      <c r="F91" s="74"/>
      <c r="G91" s="16"/>
      <c r="H91" s="1"/>
      <c r="I91" s="1"/>
      <c r="J91" s="19"/>
    </row>
    <row r="92" spans="1:10" x14ac:dyDescent="0.25">
      <c r="A92" s="1">
        <f t="shared" si="1"/>
        <v>19</v>
      </c>
      <c r="B92" s="31" t="s">
        <v>135</v>
      </c>
      <c r="C92" s="58" t="s">
        <v>136</v>
      </c>
      <c r="D92" s="53" t="s">
        <v>335</v>
      </c>
      <c r="E92" s="73"/>
      <c r="F92" s="74"/>
      <c r="G92" s="16"/>
      <c r="H92" s="1"/>
      <c r="I92" s="1"/>
      <c r="J92" s="19"/>
    </row>
    <row r="93" spans="1:10" x14ac:dyDescent="0.25">
      <c r="A93" s="1">
        <f t="shared" si="1"/>
        <v>20</v>
      </c>
      <c r="B93" s="31" t="s">
        <v>137</v>
      </c>
      <c r="C93" s="58" t="s">
        <v>138</v>
      </c>
      <c r="D93" s="53" t="s">
        <v>335</v>
      </c>
      <c r="E93" s="73"/>
      <c r="F93" s="74"/>
      <c r="G93" s="16"/>
      <c r="H93" s="1"/>
      <c r="I93" s="1"/>
      <c r="J93" s="19"/>
    </row>
    <row r="94" spans="1:10" x14ac:dyDescent="0.25">
      <c r="A94" s="1">
        <f t="shared" si="1"/>
        <v>21</v>
      </c>
      <c r="B94" s="31" t="s">
        <v>139</v>
      </c>
      <c r="C94" s="58" t="s">
        <v>140</v>
      </c>
      <c r="D94" s="53" t="s">
        <v>335</v>
      </c>
      <c r="E94" s="73"/>
      <c r="F94" s="74"/>
      <c r="G94" s="16"/>
      <c r="H94" s="1"/>
      <c r="I94" s="1"/>
      <c r="J94" s="19"/>
    </row>
    <row r="95" spans="1:10" x14ac:dyDescent="0.25">
      <c r="A95" s="1">
        <f t="shared" si="1"/>
        <v>22</v>
      </c>
      <c r="B95" s="31" t="s">
        <v>141</v>
      </c>
      <c r="C95" s="58" t="s">
        <v>142</v>
      </c>
      <c r="D95" s="53" t="s">
        <v>335</v>
      </c>
      <c r="E95" s="73"/>
      <c r="F95" s="74"/>
      <c r="G95" s="16"/>
      <c r="H95" s="1"/>
      <c r="I95" s="1"/>
      <c r="J95" s="19"/>
    </row>
    <row r="96" spans="1:10" x14ac:dyDescent="0.25">
      <c r="A96" s="1">
        <f t="shared" si="1"/>
        <v>23</v>
      </c>
      <c r="B96" s="31" t="s">
        <v>143</v>
      </c>
      <c r="C96" s="58" t="s">
        <v>144</v>
      </c>
      <c r="D96" s="53" t="s">
        <v>335</v>
      </c>
      <c r="E96" s="73"/>
      <c r="F96" s="74"/>
      <c r="G96" s="16"/>
      <c r="H96" s="1"/>
      <c r="I96" s="1"/>
      <c r="J96" s="19"/>
    </row>
    <row r="97" spans="1:10" x14ac:dyDescent="0.25">
      <c r="A97" s="1">
        <f t="shared" si="1"/>
        <v>24</v>
      </c>
      <c r="B97" s="31" t="s">
        <v>145</v>
      </c>
      <c r="C97" s="58" t="s">
        <v>146</v>
      </c>
      <c r="D97" s="53" t="s">
        <v>335</v>
      </c>
      <c r="E97" s="73"/>
      <c r="F97" s="74"/>
      <c r="G97" s="16"/>
      <c r="H97" s="1"/>
      <c r="I97" s="1"/>
      <c r="J97" s="19"/>
    </row>
    <row r="98" spans="1:10" x14ac:dyDescent="0.25">
      <c r="A98" s="1">
        <f t="shared" si="1"/>
        <v>25</v>
      </c>
      <c r="B98" s="31" t="s">
        <v>147</v>
      </c>
      <c r="C98" s="58" t="s">
        <v>148</v>
      </c>
      <c r="D98" s="53" t="s">
        <v>335</v>
      </c>
      <c r="E98" s="73"/>
      <c r="F98" s="74"/>
      <c r="G98" s="16"/>
      <c r="H98" s="1"/>
      <c r="I98" s="1"/>
      <c r="J98" s="19"/>
    </row>
    <row r="99" spans="1:10" x14ac:dyDescent="0.25">
      <c r="A99" s="1">
        <f t="shared" si="1"/>
        <v>26</v>
      </c>
      <c r="B99" s="31" t="s">
        <v>149</v>
      </c>
      <c r="C99" s="58" t="s">
        <v>150</v>
      </c>
      <c r="D99" s="53" t="s">
        <v>335</v>
      </c>
      <c r="E99" s="73"/>
      <c r="F99" s="74"/>
      <c r="G99" s="16"/>
      <c r="H99" s="1"/>
      <c r="I99" s="1"/>
      <c r="J99" s="19"/>
    </row>
    <row r="100" spans="1:10" x14ac:dyDescent="0.25">
      <c r="A100" s="1">
        <f t="shared" si="1"/>
        <v>27</v>
      </c>
      <c r="B100" s="31" t="s">
        <v>151</v>
      </c>
      <c r="C100" s="58" t="s">
        <v>152</v>
      </c>
      <c r="D100" s="53" t="s">
        <v>335</v>
      </c>
      <c r="E100" s="73"/>
      <c r="F100" s="74"/>
      <c r="G100" s="16"/>
      <c r="H100" s="1"/>
      <c r="I100" s="1"/>
      <c r="J100" s="19"/>
    </row>
    <row r="101" spans="1:10" x14ac:dyDescent="0.25">
      <c r="A101" s="1">
        <f t="shared" si="1"/>
        <v>28</v>
      </c>
      <c r="B101" s="31" t="s">
        <v>153</v>
      </c>
      <c r="C101" s="58" t="s">
        <v>154</v>
      </c>
      <c r="D101" s="53" t="s">
        <v>335</v>
      </c>
      <c r="E101" s="73"/>
      <c r="F101" s="74"/>
      <c r="G101" s="16"/>
      <c r="H101" s="1"/>
      <c r="I101" s="1"/>
      <c r="J101" s="19"/>
    </row>
    <row r="102" spans="1:10" x14ac:dyDescent="0.25">
      <c r="A102" s="1">
        <f t="shared" si="1"/>
        <v>29</v>
      </c>
      <c r="B102" s="31" t="s">
        <v>155</v>
      </c>
      <c r="C102" s="58" t="s">
        <v>156</v>
      </c>
      <c r="D102" s="53" t="s">
        <v>335</v>
      </c>
      <c r="E102" s="73"/>
      <c r="F102" s="74"/>
      <c r="G102" s="16"/>
      <c r="H102" s="1"/>
      <c r="I102" s="1"/>
      <c r="J102" s="19"/>
    </row>
    <row r="103" spans="1:10" x14ac:dyDescent="0.25">
      <c r="A103" s="1">
        <f t="shared" si="1"/>
        <v>30</v>
      </c>
      <c r="B103" s="31" t="s">
        <v>157</v>
      </c>
      <c r="C103" s="58" t="s">
        <v>158</v>
      </c>
      <c r="D103" s="53" t="s">
        <v>335</v>
      </c>
      <c r="E103" s="73"/>
      <c r="F103" s="74"/>
      <c r="G103" s="16"/>
      <c r="H103" s="1"/>
      <c r="I103" s="1"/>
      <c r="J103" s="19"/>
    </row>
    <row r="104" spans="1:10" x14ac:dyDescent="0.25">
      <c r="A104" s="1">
        <f t="shared" si="1"/>
        <v>31</v>
      </c>
      <c r="B104" s="31" t="s">
        <v>159</v>
      </c>
      <c r="C104" s="58" t="s">
        <v>160</v>
      </c>
      <c r="D104" s="53" t="s">
        <v>335</v>
      </c>
      <c r="E104" s="73"/>
      <c r="F104" s="74"/>
      <c r="G104" s="16"/>
      <c r="H104" s="1"/>
      <c r="I104" s="1"/>
      <c r="J104" s="19"/>
    </row>
    <row r="105" spans="1:10" x14ac:dyDescent="0.25">
      <c r="A105" s="1">
        <f t="shared" si="1"/>
        <v>32</v>
      </c>
      <c r="B105" s="56" t="s">
        <v>161</v>
      </c>
      <c r="C105" s="57" t="s">
        <v>162</v>
      </c>
      <c r="D105" s="53" t="s">
        <v>335</v>
      </c>
      <c r="E105" s="73"/>
      <c r="F105" s="74"/>
      <c r="G105" s="16"/>
      <c r="H105" s="1"/>
      <c r="I105" s="1"/>
      <c r="J105" s="19"/>
    </row>
    <row r="106" spans="1:10" x14ac:dyDescent="0.25">
      <c r="A106" s="1">
        <f t="shared" si="1"/>
        <v>33</v>
      </c>
      <c r="B106" s="31" t="s">
        <v>163</v>
      </c>
      <c r="C106" s="58" t="s">
        <v>164</v>
      </c>
      <c r="D106" s="53" t="s">
        <v>335</v>
      </c>
      <c r="E106" s="73"/>
      <c r="F106" s="74"/>
      <c r="G106" s="16"/>
      <c r="H106" s="1"/>
      <c r="I106" s="1"/>
      <c r="J106" s="19"/>
    </row>
    <row r="107" spans="1:10" x14ac:dyDescent="0.25">
      <c r="A107" s="1">
        <f t="shared" si="1"/>
        <v>34</v>
      </c>
      <c r="B107" s="31" t="s">
        <v>165</v>
      </c>
      <c r="C107" s="58" t="s">
        <v>166</v>
      </c>
      <c r="D107" s="53" t="s">
        <v>335</v>
      </c>
      <c r="E107" s="73"/>
      <c r="F107" s="74"/>
      <c r="G107" s="16"/>
      <c r="H107" s="1"/>
      <c r="I107" s="1"/>
      <c r="J107" s="19"/>
    </row>
    <row r="108" spans="1:10" x14ac:dyDescent="0.25">
      <c r="A108" s="1">
        <f t="shared" si="1"/>
        <v>35</v>
      </c>
      <c r="B108" s="31" t="s">
        <v>167</v>
      </c>
      <c r="C108" s="58" t="s">
        <v>168</v>
      </c>
      <c r="D108" s="53" t="s">
        <v>335</v>
      </c>
      <c r="E108" s="73"/>
      <c r="F108" s="74"/>
      <c r="G108" s="16"/>
      <c r="H108" s="1"/>
      <c r="I108" s="1"/>
      <c r="J108" s="19"/>
    </row>
    <row r="109" spans="1:10" x14ac:dyDescent="0.25">
      <c r="A109" s="1">
        <f t="shared" si="1"/>
        <v>36</v>
      </c>
      <c r="B109" s="31" t="s">
        <v>169</v>
      </c>
      <c r="C109" s="58" t="s">
        <v>170</v>
      </c>
      <c r="D109" s="53" t="s">
        <v>335</v>
      </c>
      <c r="E109" s="73"/>
      <c r="F109" s="74"/>
      <c r="G109" s="16"/>
      <c r="H109" s="1"/>
      <c r="I109" s="1"/>
      <c r="J109" s="19"/>
    </row>
    <row r="110" spans="1:10" x14ac:dyDescent="0.25">
      <c r="A110" s="1">
        <f t="shared" si="1"/>
        <v>37</v>
      </c>
      <c r="B110" s="31" t="s">
        <v>171</v>
      </c>
      <c r="C110" s="58" t="s">
        <v>172</v>
      </c>
      <c r="D110" s="53" t="s">
        <v>335</v>
      </c>
      <c r="E110" s="73"/>
      <c r="F110" s="74"/>
      <c r="G110" s="16"/>
      <c r="H110" s="1"/>
      <c r="I110" s="1"/>
      <c r="J110" s="19"/>
    </row>
    <row r="111" spans="1:10" x14ac:dyDescent="0.25">
      <c r="A111" s="1">
        <f t="shared" si="1"/>
        <v>38</v>
      </c>
      <c r="B111" s="31" t="s">
        <v>173</v>
      </c>
      <c r="C111" s="58" t="s">
        <v>174</v>
      </c>
      <c r="D111" s="53" t="s">
        <v>335</v>
      </c>
      <c r="E111" s="73"/>
      <c r="F111" s="74"/>
      <c r="G111" s="16"/>
      <c r="H111" s="1"/>
      <c r="I111" s="1"/>
      <c r="J111" s="19"/>
    </row>
    <row r="112" spans="1:10" x14ac:dyDescent="0.25">
      <c r="A112" s="1">
        <f t="shared" si="1"/>
        <v>39</v>
      </c>
      <c r="B112" s="31" t="s">
        <v>175</v>
      </c>
      <c r="C112" s="58" t="s">
        <v>176</v>
      </c>
      <c r="D112" s="53" t="s">
        <v>335</v>
      </c>
      <c r="E112" s="73"/>
      <c r="F112" s="74"/>
      <c r="G112" s="16"/>
      <c r="H112" s="1"/>
      <c r="I112" s="1"/>
      <c r="J112" s="19"/>
    </row>
    <row r="113" spans="1:10" x14ac:dyDescent="0.25">
      <c r="A113" s="1">
        <f t="shared" si="1"/>
        <v>40</v>
      </c>
      <c r="B113" s="31" t="s">
        <v>177</v>
      </c>
      <c r="C113" s="58" t="s">
        <v>178</v>
      </c>
      <c r="D113" s="53" t="s">
        <v>335</v>
      </c>
      <c r="E113" s="73"/>
      <c r="F113" s="74"/>
      <c r="G113" s="16"/>
      <c r="H113" s="1"/>
      <c r="I113" s="1"/>
      <c r="J113" s="19"/>
    </row>
    <row r="114" spans="1:10" x14ac:dyDescent="0.25">
      <c r="A114" s="1">
        <f t="shared" si="1"/>
        <v>41</v>
      </c>
      <c r="B114" s="31" t="s">
        <v>179</v>
      </c>
      <c r="C114" s="58" t="s">
        <v>180</v>
      </c>
      <c r="D114" s="53" t="s">
        <v>335</v>
      </c>
      <c r="E114" s="73"/>
      <c r="F114" s="74"/>
      <c r="G114" s="16"/>
      <c r="H114" s="1"/>
      <c r="I114" s="1"/>
      <c r="J114" s="19"/>
    </row>
    <row r="115" spans="1:10" x14ac:dyDescent="0.25">
      <c r="A115" s="1">
        <f t="shared" si="1"/>
        <v>42</v>
      </c>
      <c r="B115" s="31" t="s">
        <v>181</v>
      </c>
      <c r="C115" s="58" t="s">
        <v>182</v>
      </c>
      <c r="D115" s="53" t="s">
        <v>335</v>
      </c>
      <c r="E115" s="73"/>
      <c r="F115" s="74"/>
      <c r="G115" s="16"/>
      <c r="H115" s="1"/>
      <c r="I115" s="1"/>
      <c r="J115" s="19"/>
    </row>
    <row r="116" spans="1:10" x14ac:dyDescent="0.25">
      <c r="A116" s="1">
        <f t="shared" si="1"/>
        <v>43</v>
      </c>
      <c r="B116" s="31" t="s">
        <v>183</v>
      </c>
      <c r="C116" s="58" t="s">
        <v>184</v>
      </c>
      <c r="D116" s="53" t="s">
        <v>335</v>
      </c>
      <c r="E116" s="73"/>
      <c r="F116" s="74"/>
      <c r="G116" s="16"/>
      <c r="H116" s="1"/>
      <c r="I116" s="1"/>
      <c r="J116" s="19"/>
    </row>
    <row r="117" spans="1:10" x14ac:dyDescent="0.25">
      <c r="A117" s="1">
        <f t="shared" si="1"/>
        <v>44</v>
      </c>
      <c r="B117" s="31" t="s">
        <v>185</v>
      </c>
      <c r="C117" s="58" t="s">
        <v>186</v>
      </c>
      <c r="D117" s="53" t="s">
        <v>335</v>
      </c>
      <c r="E117" s="73"/>
      <c r="F117" s="74"/>
      <c r="G117" s="16"/>
      <c r="H117" s="1"/>
      <c r="I117" s="1"/>
      <c r="J117" s="19"/>
    </row>
    <row r="118" spans="1:10" x14ac:dyDescent="0.25">
      <c r="A118" s="1">
        <f t="shared" si="1"/>
        <v>45</v>
      </c>
      <c r="B118" s="31" t="s">
        <v>187</v>
      </c>
      <c r="C118" s="58" t="s">
        <v>188</v>
      </c>
      <c r="D118" s="53" t="s">
        <v>335</v>
      </c>
      <c r="E118" s="73"/>
      <c r="F118" s="74"/>
      <c r="G118" s="16"/>
      <c r="H118" s="1"/>
      <c r="I118" s="1"/>
      <c r="J118" s="19"/>
    </row>
    <row r="119" spans="1:10" x14ac:dyDescent="0.25">
      <c r="A119" s="1">
        <f t="shared" si="1"/>
        <v>46</v>
      </c>
      <c r="B119" s="31" t="s">
        <v>189</v>
      </c>
      <c r="C119" s="58" t="s">
        <v>190</v>
      </c>
      <c r="D119" s="53" t="s">
        <v>335</v>
      </c>
      <c r="E119" s="73"/>
      <c r="F119" s="74"/>
      <c r="G119" s="16"/>
      <c r="H119" s="1"/>
      <c r="I119" s="1"/>
      <c r="J119" s="19"/>
    </row>
    <row r="120" spans="1:10" x14ac:dyDescent="0.25">
      <c r="A120" s="1">
        <f t="shared" si="1"/>
        <v>47</v>
      </c>
      <c r="B120" s="31" t="s">
        <v>191</v>
      </c>
      <c r="C120" s="58" t="s">
        <v>192</v>
      </c>
      <c r="D120" s="53" t="s">
        <v>335</v>
      </c>
      <c r="E120" s="73"/>
      <c r="F120" s="74"/>
      <c r="G120" s="16"/>
      <c r="H120" s="1"/>
      <c r="I120" s="1"/>
      <c r="J120" s="19"/>
    </row>
    <row r="121" spans="1:10" x14ac:dyDescent="0.25">
      <c r="A121" s="1">
        <f t="shared" si="1"/>
        <v>48</v>
      </c>
      <c r="B121" s="31" t="s">
        <v>193</v>
      </c>
      <c r="C121" s="58" t="s">
        <v>194</v>
      </c>
      <c r="D121" s="53" t="s">
        <v>335</v>
      </c>
      <c r="E121" s="73"/>
      <c r="F121" s="74"/>
      <c r="G121" s="16"/>
      <c r="H121" s="1"/>
      <c r="I121" s="1"/>
      <c r="J121" s="19"/>
    </row>
    <row r="122" spans="1:10" x14ac:dyDescent="0.25">
      <c r="A122" s="1">
        <f t="shared" si="1"/>
        <v>49</v>
      </c>
      <c r="B122" s="31" t="s">
        <v>195</v>
      </c>
      <c r="C122" s="58" t="s">
        <v>196</v>
      </c>
      <c r="D122" s="53" t="s">
        <v>335</v>
      </c>
      <c r="E122" s="73"/>
      <c r="F122" s="74"/>
      <c r="G122" s="16"/>
      <c r="H122" s="1"/>
      <c r="I122" s="1"/>
      <c r="J122" s="19"/>
    </row>
    <row r="123" spans="1:10" x14ac:dyDescent="0.25">
      <c r="A123" s="1">
        <f t="shared" si="1"/>
        <v>50</v>
      </c>
      <c r="B123" s="31" t="s">
        <v>197</v>
      </c>
      <c r="C123" s="58" t="s">
        <v>198</v>
      </c>
      <c r="D123" s="53" t="s">
        <v>335</v>
      </c>
      <c r="E123" s="73"/>
      <c r="F123" s="74"/>
      <c r="G123" s="16"/>
      <c r="H123" s="1"/>
      <c r="I123" s="1"/>
      <c r="J123" s="19"/>
    </row>
    <row r="124" spans="1:10" x14ac:dyDescent="0.25">
      <c r="A124" s="1">
        <f t="shared" si="1"/>
        <v>51</v>
      </c>
      <c r="B124" s="31" t="s">
        <v>199</v>
      </c>
      <c r="C124" s="58" t="s">
        <v>200</v>
      </c>
      <c r="D124" s="53" t="s">
        <v>335</v>
      </c>
      <c r="E124" s="73"/>
      <c r="F124" s="74"/>
      <c r="G124" s="16"/>
      <c r="H124" s="1"/>
      <c r="I124" s="1"/>
      <c r="J124" s="19"/>
    </row>
    <row r="125" spans="1:10" x14ac:dyDescent="0.25">
      <c r="A125" s="1">
        <f t="shared" si="1"/>
        <v>52</v>
      </c>
      <c r="B125" s="31" t="s">
        <v>201</v>
      </c>
      <c r="C125" s="58" t="s">
        <v>202</v>
      </c>
      <c r="D125" s="53" t="s">
        <v>335</v>
      </c>
      <c r="E125" s="73"/>
      <c r="F125" s="74"/>
      <c r="G125" s="16"/>
      <c r="H125" s="1"/>
      <c r="I125" s="1"/>
      <c r="J125" s="19"/>
    </row>
    <row r="126" spans="1:10" x14ac:dyDescent="0.25">
      <c r="A126" s="1">
        <f t="shared" si="1"/>
        <v>53</v>
      </c>
      <c r="B126" s="31" t="s">
        <v>203</v>
      </c>
      <c r="C126" s="58" t="s">
        <v>204</v>
      </c>
      <c r="D126" s="53" t="s">
        <v>335</v>
      </c>
      <c r="E126" s="73"/>
      <c r="F126" s="74"/>
      <c r="G126" s="16"/>
      <c r="H126" s="1"/>
      <c r="I126" s="1"/>
      <c r="J126" s="19"/>
    </row>
    <row r="127" spans="1:10" x14ac:dyDescent="0.25">
      <c r="A127" s="1">
        <f t="shared" si="1"/>
        <v>54</v>
      </c>
      <c r="B127" s="31" t="s">
        <v>205</v>
      </c>
      <c r="C127" s="58" t="s">
        <v>206</v>
      </c>
      <c r="D127" s="53" t="s">
        <v>335</v>
      </c>
      <c r="E127" s="73"/>
      <c r="F127" s="74"/>
      <c r="G127" s="16"/>
      <c r="H127" s="1"/>
      <c r="I127" s="1"/>
      <c r="J127" s="19"/>
    </row>
    <row r="128" spans="1:10" x14ac:dyDescent="0.25">
      <c r="A128" s="1">
        <f t="shared" si="1"/>
        <v>55</v>
      </c>
      <c r="B128" s="31" t="s">
        <v>207</v>
      </c>
      <c r="C128" s="58" t="s">
        <v>208</v>
      </c>
      <c r="D128" s="53" t="s">
        <v>335</v>
      </c>
      <c r="E128" s="73"/>
      <c r="F128" s="74"/>
      <c r="G128" s="16"/>
      <c r="H128" s="1"/>
      <c r="I128" s="1"/>
      <c r="J128" s="19"/>
    </row>
    <row r="129" spans="1:10" x14ac:dyDescent="0.25">
      <c r="A129" s="1">
        <f t="shared" si="1"/>
        <v>56</v>
      </c>
      <c r="B129" s="31" t="s">
        <v>209</v>
      </c>
      <c r="C129" s="58" t="s">
        <v>210</v>
      </c>
      <c r="D129" s="53" t="s">
        <v>335</v>
      </c>
      <c r="E129" s="73"/>
      <c r="F129" s="74"/>
      <c r="G129" s="16"/>
      <c r="H129" s="1"/>
      <c r="I129" s="1"/>
      <c r="J129" s="19"/>
    </row>
    <row r="130" spans="1:10" x14ac:dyDescent="0.25">
      <c r="A130" s="1">
        <f t="shared" si="1"/>
        <v>57</v>
      </c>
      <c r="B130" s="31" t="s">
        <v>211</v>
      </c>
      <c r="C130" s="58" t="s">
        <v>212</v>
      </c>
      <c r="D130" s="53" t="s">
        <v>335</v>
      </c>
      <c r="E130" s="73"/>
      <c r="F130" s="74"/>
      <c r="G130" s="16"/>
      <c r="H130" s="1"/>
      <c r="I130" s="1"/>
      <c r="J130" s="19"/>
    </row>
    <row r="131" spans="1:10" x14ac:dyDescent="0.25">
      <c r="A131" s="1">
        <f t="shared" si="1"/>
        <v>58</v>
      </c>
      <c r="B131" s="31" t="s">
        <v>218</v>
      </c>
      <c r="C131" s="58" t="s">
        <v>217</v>
      </c>
      <c r="D131" s="53" t="s">
        <v>335</v>
      </c>
      <c r="E131" s="73"/>
      <c r="F131" s="74"/>
      <c r="G131" s="16"/>
      <c r="H131" s="1"/>
      <c r="I131" s="1"/>
      <c r="J131" s="19"/>
    </row>
    <row r="132" spans="1:10" x14ac:dyDescent="0.25">
      <c r="A132" s="1">
        <f t="shared" si="1"/>
        <v>59</v>
      </c>
      <c r="B132" s="31" t="s">
        <v>213</v>
      </c>
      <c r="C132" s="58" t="s">
        <v>214</v>
      </c>
      <c r="D132" s="53" t="s">
        <v>335</v>
      </c>
      <c r="E132" s="73"/>
      <c r="F132" s="74"/>
      <c r="G132" s="16"/>
      <c r="H132" s="1"/>
      <c r="I132" s="1"/>
      <c r="J132" s="19"/>
    </row>
    <row r="133" spans="1:10" x14ac:dyDescent="0.25">
      <c r="A133" s="1">
        <f t="shared" si="1"/>
        <v>60</v>
      </c>
      <c r="B133" s="31" t="s">
        <v>215</v>
      </c>
      <c r="C133" s="58" t="s">
        <v>216</v>
      </c>
      <c r="D133" s="53" t="s">
        <v>335</v>
      </c>
      <c r="E133" s="73"/>
      <c r="F133" s="74"/>
      <c r="G133" s="16"/>
      <c r="H133" s="1"/>
      <c r="I133" s="1"/>
      <c r="J133" s="19"/>
    </row>
    <row r="134" spans="1:10" x14ac:dyDescent="0.25">
      <c r="A134" s="1">
        <f t="shared" si="1"/>
        <v>61</v>
      </c>
      <c r="B134" s="31" t="s">
        <v>219</v>
      </c>
      <c r="C134" s="58" t="s">
        <v>220</v>
      </c>
      <c r="D134" s="53" t="s">
        <v>335</v>
      </c>
      <c r="E134" s="73"/>
      <c r="F134" s="74"/>
      <c r="G134" s="16"/>
      <c r="H134" s="1"/>
      <c r="I134" s="1"/>
      <c r="J134" s="19"/>
    </row>
    <row r="135" spans="1:10" x14ac:dyDescent="0.25">
      <c r="A135" s="1">
        <f t="shared" si="1"/>
        <v>62</v>
      </c>
      <c r="B135" s="31" t="s">
        <v>221</v>
      </c>
      <c r="C135" s="58" t="s">
        <v>222</v>
      </c>
      <c r="D135" s="53" t="s">
        <v>335</v>
      </c>
      <c r="E135" s="73"/>
      <c r="F135" s="74"/>
      <c r="G135" s="16"/>
      <c r="H135" s="1"/>
      <c r="I135" s="1"/>
      <c r="J135" s="19"/>
    </row>
    <row r="136" spans="1:10" x14ac:dyDescent="0.25">
      <c r="A136" s="1">
        <f t="shared" si="1"/>
        <v>63</v>
      </c>
      <c r="B136" s="31" t="s">
        <v>223</v>
      </c>
      <c r="C136" s="58" t="s">
        <v>224</v>
      </c>
      <c r="D136" s="53" t="s">
        <v>335</v>
      </c>
      <c r="E136" s="73"/>
      <c r="F136" s="74"/>
      <c r="G136" s="16"/>
      <c r="H136" s="1"/>
      <c r="I136" s="1"/>
      <c r="J136" s="19"/>
    </row>
    <row r="137" spans="1:10" x14ac:dyDescent="0.25">
      <c r="A137" s="1">
        <f t="shared" si="1"/>
        <v>64</v>
      </c>
      <c r="B137" s="31" t="s">
        <v>225</v>
      </c>
      <c r="C137" s="58" t="s">
        <v>226</v>
      </c>
      <c r="D137" s="53" t="s">
        <v>335</v>
      </c>
      <c r="E137" s="73"/>
      <c r="F137" s="74"/>
      <c r="G137" s="16"/>
      <c r="H137" s="1"/>
      <c r="I137" s="1"/>
      <c r="J137" s="19"/>
    </row>
    <row r="138" spans="1:10" x14ac:dyDescent="0.25">
      <c r="A138" s="1">
        <f t="shared" si="1"/>
        <v>65</v>
      </c>
      <c r="B138" s="31" t="s">
        <v>227</v>
      </c>
      <c r="C138" s="58" t="s">
        <v>228</v>
      </c>
      <c r="D138" s="53" t="s">
        <v>335</v>
      </c>
      <c r="E138" s="73"/>
      <c r="F138" s="74"/>
      <c r="G138" s="16"/>
      <c r="H138" s="1"/>
      <c r="I138" s="1"/>
      <c r="J138" s="19"/>
    </row>
    <row r="139" spans="1:10" x14ac:dyDescent="0.25">
      <c r="A139" s="1">
        <f t="shared" ref="A139:A202" si="2">A138+1</f>
        <v>66</v>
      </c>
      <c r="B139" s="31" t="s">
        <v>229</v>
      </c>
      <c r="C139" s="58" t="s">
        <v>230</v>
      </c>
      <c r="D139" s="53" t="s">
        <v>335</v>
      </c>
      <c r="E139" s="73"/>
      <c r="F139" s="74"/>
      <c r="G139" s="16"/>
      <c r="H139" s="1"/>
      <c r="I139" s="1"/>
      <c r="J139" s="19"/>
    </row>
    <row r="140" spans="1:10" x14ac:dyDescent="0.25">
      <c r="A140" s="1">
        <f t="shared" si="2"/>
        <v>67</v>
      </c>
      <c r="B140" s="31" t="s">
        <v>231</v>
      </c>
      <c r="C140" s="58" t="s">
        <v>232</v>
      </c>
      <c r="D140" s="53" t="s">
        <v>335</v>
      </c>
      <c r="E140" s="73"/>
      <c r="F140" s="74"/>
      <c r="G140" s="16"/>
      <c r="H140" s="1"/>
      <c r="I140" s="1"/>
      <c r="J140" s="19"/>
    </row>
    <row r="141" spans="1:10" x14ac:dyDescent="0.25">
      <c r="A141" s="1">
        <f t="shared" si="2"/>
        <v>68</v>
      </c>
      <c r="B141" s="31" t="s">
        <v>233</v>
      </c>
      <c r="C141" s="58" t="s">
        <v>234</v>
      </c>
      <c r="D141" s="53" t="s">
        <v>335</v>
      </c>
      <c r="E141" s="73"/>
      <c r="F141" s="74"/>
      <c r="G141" s="16"/>
      <c r="H141" s="1"/>
      <c r="I141" s="1"/>
      <c r="J141" s="19"/>
    </row>
    <row r="142" spans="1:10" x14ac:dyDescent="0.25">
      <c r="A142" s="1">
        <f t="shared" si="2"/>
        <v>69</v>
      </c>
      <c r="B142" s="31" t="s">
        <v>235</v>
      </c>
      <c r="C142" s="58" t="s">
        <v>236</v>
      </c>
      <c r="D142" s="53" t="s">
        <v>335</v>
      </c>
      <c r="E142" s="73"/>
      <c r="F142" s="74"/>
      <c r="G142" s="16"/>
      <c r="H142" s="1"/>
      <c r="I142" s="1"/>
      <c r="J142" s="19"/>
    </row>
    <row r="143" spans="1:10" x14ac:dyDescent="0.25">
      <c r="A143" s="1">
        <f t="shared" si="2"/>
        <v>70</v>
      </c>
      <c r="B143" s="56" t="s">
        <v>237</v>
      </c>
      <c r="C143" s="57" t="s">
        <v>238</v>
      </c>
      <c r="D143" s="53" t="s">
        <v>335</v>
      </c>
      <c r="E143" s="73"/>
      <c r="F143" s="74"/>
      <c r="G143" s="16"/>
      <c r="H143" s="1"/>
      <c r="I143" s="1"/>
      <c r="J143" s="19"/>
    </row>
    <row r="144" spans="1:10" x14ac:dyDescent="0.25">
      <c r="A144" s="1">
        <f t="shared" si="2"/>
        <v>71</v>
      </c>
      <c r="B144" s="31" t="s">
        <v>239</v>
      </c>
      <c r="C144" s="58" t="s">
        <v>240</v>
      </c>
      <c r="D144" s="53" t="s">
        <v>335</v>
      </c>
      <c r="E144" s="73"/>
      <c r="F144" s="74"/>
      <c r="G144" s="16"/>
      <c r="H144" s="1"/>
      <c r="I144" s="1"/>
      <c r="J144" s="19"/>
    </row>
    <row r="145" spans="1:10" x14ac:dyDescent="0.25">
      <c r="A145" s="1">
        <f t="shared" si="2"/>
        <v>72</v>
      </c>
      <c r="B145" s="31" t="s">
        <v>241</v>
      </c>
      <c r="C145" s="58" t="s">
        <v>242</v>
      </c>
      <c r="D145" s="53" t="s">
        <v>335</v>
      </c>
      <c r="E145" s="73"/>
      <c r="F145" s="74"/>
      <c r="G145" s="16"/>
      <c r="H145" s="1"/>
      <c r="I145" s="1"/>
      <c r="J145" s="19"/>
    </row>
    <row r="146" spans="1:10" x14ac:dyDescent="0.25">
      <c r="A146" s="1">
        <f t="shared" si="2"/>
        <v>73</v>
      </c>
      <c r="B146" s="31" t="s">
        <v>243</v>
      </c>
      <c r="C146" s="58" t="s">
        <v>244</v>
      </c>
      <c r="D146" s="53" t="s">
        <v>335</v>
      </c>
      <c r="E146" s="73"/>
      <c r="F146" s="74"/>
      <c r="G146" s="16"/>
      <c r="H146" s="1"/>
      <c r="I146" s="1"/>
      <c r="J146" s="19"/>
    </row>
    <row r="147" spans="1:10" x14ac:dyDescent="0.25">
      <c r="A147" s="1">
        <f t="shared" si="2"/>
        <v>74</v>
      </c>
      <c r="B147" s="31" t="s">
        <v>245</v>
      </c>
      <c r="C147" s="58" t="s">
        <v>246</v>
      </c>
      <c r="D147" s="53" t="s">
        <v>335</v>
      </c>
      <c r="E147" s="73"/>
      <c r="F147" s="74"/>
      <c r="G147" s="16"/>
      <c r="H147" s="1"/>
      <c r="I147" s="1"/>
      <c r="J147" s="19"/>
    </row>
    <row r="148" spans="1:10" x14ac:dyDescent="0.25">
      <c r="A148" s="1">
        <f>A147+1</f>
        <v>75</v>
      </c>
      <c r="B148" s="31" t="s">
        <v>247</v>
      </c>
      <c r="C148" s="58" t="s">
        <v>248</v>
      </c>
      <c r="D148" s="53" t="s">
        <v>335</v>
      </c>
      <c r="E148" s="73"/>
      <c r="F148" s="74"/>
      <c r="G148" s="16"/>
      <c r="H148" s="1"/>
      <c r="I148" s="1"/>
      <c r="J148" s="19"/>
    </row>
    <row r="149" spans="1:10" x14ac:dyDescent="0.25">
      <c r="A149" s="1">
        <f t="shared" si="2"/>
        <v>76</v>
      </c>
      <c r="B149" s="31" t="s">
        <v>249</v>
      </c>
      <c r="C149" s="58"/>
      <c r="D149" s="53" t="s">
        <v>335</v>
      </c>
      <c r="E149" s="73"/>
      <c r="F149" s="74"/>
      <c r="G149" s="16"/>
      <c r="H149" s="1"/>
      <c r="I149" s="1"/>
      <c r="J149" s="19"/>
    </row>
    <row r="150" spans="1:10" x14ac:dyDescent="0.25">
      <c r="A150" s="1">
        <f t="shared" si="2"/>
        <v>77</v>
      </c>
      <c r="B150" s="31" t="s">
        <v>250</v>
      </c>
      <c r="C150" s="58"/>
      <c r="D150" s="53" t="s">
        <v>335</v>
      </c>
      <c r="E150" s="73"/>
      <c r="F150" s="74"/>
      <c r="G150" s="16"/>
      <c r="H150" s="1"/>
      <c r="I150" s="1"/>
      <c r="J150" s="19"/>
    </row>
    <row r="151" spans="1:10" x14ac:dyDescent="0.25">
      <c r="A151" s="1">
        <f t="shared" si="2"/>
        <v>78</v>
      </c>
      <c r="B151" s="31" t="s">
        <v>251</v>
      </c>
      <c r="C151" s="58"/>
      <c r="D151" s="53" t="s">
        <v>335</v>
      </c>
      <c r="E151" s="73"/>
      <c r="F151" s="74"/>
      <c r="G151" s="16"/>
      <c r="H151" s="9"/>
      <c r="I151" s="1"/>
      <c r="J151" s="19"/>
    </row>
    <row r="152" spans="1:10" x14ac:dyDescent="0.25">
      <c r="A152" s="1">
        <f t="shared" si="2"/>
        <v>79</v>
      </c>
      <c r="B152" s="31" t="s">
        <v>252</v>
      </c>
      <c r="C152" s="58" t="s">
        <v>253</v>
      </c>
      <c r="D152" s="53" t="s">
        <v>335</v>
      </c>
      <c r="E152" s="73"/>
      <c r="F152" s="74"/>
      <c r="G152" s="16"/>
      <c r="H152" s="9"/>
      <c r="I152" s="1"/>
      <c r="J152" s="19"/>
    </row>
    <row r="153" spans="1:10" x14ac:dyDescent="0.25">
      <c r="A153" s="1">
        <f t="shared" si="2"/>
        <v>80</v>
      </c>
      <c r="B153" s="31" t="s">
        <v>254</v>
      </c>
      <c r="C153" s="58" t="s">
        <v>255</v>
      </c>
      <c r="D153" s="53" t="s">
        <v>335</v>
      </c>
      <c r="E153" s="73"/>
      <c r="F153" s="74"/>
      <c r="G153" s="16"/>
      <c r="H153" s="1"/>
      <c r="I153" s="1"/>
      <c r="J153" s="19"/>
    </row>
    <row r="154" spans="1:10" x14ac:dyDescent="0.25">
      <c r="A154" s="1">
        <f t="shared" si="2"/>
        <v>81</v>
      </c>
      <c r="B154" s="31" t="s">
        <v>4</v>
      </c>
      <c r="C154" s="58"/>
      <c r="D154" s="53" t="s">
        <v>335</v>
      </c>
      <c r="E154" s="73"/>
      <c r="F154" s="74"/>
      <c r="G154" s="16"/>
      <c r="H154" s="1"/>
      <c r="I154" s="1"/>
      <c r="J154" s="19"/>
    </row>
    <row r="155" spans="1:10" x14ac:dyDescent="0.25">
      <c r="A155" s="1">
        <f t="shared" si="2"/>
        <v>82</v>
      </c>
      <c r="B155" s="31" t="s">
        <v>256</v>
      </c>
      <c r="C155" s="58" t="s">
        <v>257</v>
      </c>
      <c r="D155" s="53" t="s">
        <v>335</v>
      </c>
      <c r="E155" s="73"/>
      <c r="F155" s="74"/>
      <c r="G155" s="16"/>
      <c r="H155" s="1"/>
      <c r="I155" s="1"/>
      <c r="J155" s="19"/>
    </row>
    <row r="156" spans="1:10" x14ac:dyDescent="0.25">
      <c r="A156" s="1">
        <f t="shared" si="2"/>
        <v>83</v>
      </c>
      <c r="B156" s="31" t="s">
        <v>258</v>
      </c>
      <c r="C156" s="58" t="s">
        <v>259</v>
      </c>
      <c r="D156" s="53" t="s">
        <v>335</v>
      </c>
      <c r="E156" s="73"/>
      <c r="F156" s="74"/>
      <c r="G156" s="16"/>
      <c r="H156" s="1"/>
      <c r="I156" s="1"/>
      <c r="J156" s="19"/>
    </row>
    <row r="157" spans="1:10" x14ac:dyDescent="0.25">
      <c r="A157" s="1">
        <f t="shared" si="2"/>
        <v>84</v>
      </c>
      <c r="B157" s="31" t="s">
        <v>260</v>
      </c>
      <c r="C157" s="58" t="s">
        <v>261</v>
      </c>
      <c r="D157" s="53" t="s">
        <v>335</v>
      </c>
      <c r="E157" s="73"/>
      <c r="F157" s="74"/>
      <c r="G157" s="16"/>
      <c r="H157" s="1"/>
      <c r="I157" s="1"/>
      <c r="J157" s="19"/>
    </row>
    <row r="158" spans="1:10" x14ac:dyDescent="0.25">
      <c r="A158" s="1">
        <f t="shared" si="2"/>
        <v>85</v>
      </c>
      <c r="B158" s="31" t="s">
        <v>262</v>
      </c>
      <c r="C158" s="58" t="s">
        <v>263</v>
      </c>
      <c r="D158" s="53" t="s">
        <v>335</v>
      </c>
      <c r="E158" s="73"/>
      <c r="F158" s="74"/>
      <c r="G158" s="16"/>
      <c r="H158" s="1"/>
      <c r="I158" s="1"/>
      <c r="J158" s="19"/>
    </row>
    <row r="159" spans="1:10" x14ac:dyDescent="0.25">
      <c r="A159" s="1">
        <f t="shared" si="2"/>
        <v>86</v>
      </c>
      <c r="B159" s="31" t="s">
        <v>264</v>
      </c>
      <c r="C159" s="58" t="s">
        <v>265</v>
      </c>
      <c r="D159" s="53" t="s">
        <v>335</v>
      </c>
      <c r="E159" s="73"/>
      <c r="F159" s="74"/>
      <c r="G159" s="16"/>
      <c r="H159" s="1"/>
      <c r="I159" s="1"/>
      <c r="J159" s="19"/>
    </row>
    <row r="160" spans="1:10" x14ac:dyDescent="0.25">
      <c r="A160" s="1">
        <f t="shared" si="2"/>
        <v>87</v>
      </c>
      <c r="B160" s="31" t="s">
        <v>266</v>
      </c>
      <c r="C160" s="58" t="s">
        <v>267</v>
      </c>
      <c r="D160" s="53" t="s">
        <v>335</v>
      </c>
      <c r="E160" s="73"/>
      <c r="F160" s="74"/>
      <c r="G160" s="16"/>
      <c r="H160" s="1"/>
      <c r="I160" s="1"/>
      <c r="J160" s="19"/>
    </row>
    <row r="161" spans="1:10" x14ac:dyDescent="0.25">
      <c r="A161" s="1">
        <f t="shared" si="2"/>
        <v>88</v>
      </c>
      <c r="B161" s="31" t="s">
        <v>268</v>
      </c>
      <c r="C161" s="58" t="s">
        <v>269</v>
      </c>
      <c r="D161" s="53" t="s">
        <v>335</v>
      </c>
      <c r="E161" s="73"/>
      <c r="F161" s="74"/>
      <c r="G161" s="16"/>
      <c r="H161" s="1"/>
      <c r="I161" s="1"/>
      <c r="J161" s="19"/>
    </row>
    <row r="162" spans="1:10" x14ac:dyDescent="0.25">
      <c r="A162" s="1">
        <f t="shared" si="2"/>
        <v>89</v>
      </c>
      <c r="B162" s="31" t="s">
        <v>271</v>
      </c>
      <c r="C162" s="58" t="s">
        <v>270</v>
      </c>
      <c r="D162" s="53" t="s">
        <v>335</v>
      </c>
      <c r="E162" s="73"/>
      <c r="F162" s="74"/>
      <c r="G162" s="16"/>
      <c r="H162" s="1"/>
      <c r="I162" s="1"/>
      <c r="J162" s="19"/>
    </row>
    <row r="163" spans="1:10" x14ac:dyDescent="0.25">
      <c r="A163" s="1">
        <f t="shared" si="2"/>
        <v>90</v>
      </c>
      <c r="B163" s="31" t="s">
        <v>272</v>
      </c>
      <c r="C163" s="58" t="s">
        <v>273</v>
      </c>
      <c r="D163" s="53" t="s">
        <v>335</v>
      </c>
      <c r="E163" s="73"/>
      <c r="F163" s="74"/>
      <c r="G163" s="16"/>
      <c r="H163" s="1"/>
      <c r="I163" s="1"/>
      <c r="J163" s="19"/>
    </row>
    <row r="164" spans="1:10" x14ac:dyDescent="0.25">
      <c r="A164" s="1">
        <f t="shared" si="2"/>
        <v>91</v>
      </c>
      <c r="B164" s="31" t="s">
        <v>274</v>
      </c>
      <c r="C164" s="58" t="s">
        <v>275</v>
      </c>
      <c r="D164" s="53" t="s">
        <v>335</v>
      </c>
      <c r="E164" s="73"/>
      <c r="F164" s="74"/>
      <c r="G164" s="16"/>
      <c r="H164" s="1"/>
      <c r="I164" s="1"/>
      <c r="J164" s="19"/>
    </row>
    <row r="165" spans="1:10" x14ac:dyDescent="0.25">
      <c r="A165" s="1">
        <f t="shared" si="2"/>
        <v>92</v>
      </c>
      <c r="B165" s="31" t="s">
        <v>276</v>
      </c>
      <c r="C165" s="58" t="s">
        <v>277</v>
      </c>
      <c r="D165" s="53" t="s">
        <v>335</v>
      </c>
      <c r="E165" s="73"/>
      <c r="F165" s="74"/>
      <c r="G165" s="16"/>
      <c r="H165" s="1"/>
      <c r="I165" s="1"/>
      <c r="J165" s="19"/>
    </row>
    <row r="166" spans="1:10" x14ac:dyDescent="0.25">
      <c r="A166" s="1">
        <f t="shared" si="2"/>
        <v>93</v>
      </c>
      <c r="B166" s="31" t="s">
        <v>278</v>
      </c>
      <c r="C166" s="58" t="s">
        <v>279</v>
      </c>
      <c r="D166" s="53" t="s">
        <v>335</v>
      </c>
      <c r="E166" s="73"/>
      <c r="F166" s="74"/>
      <c r="G166" s="16"/>
      <c r="H166" s="1"/>
      <c r="I166" s="1"/>
      <c r="J166" s="19"/>
    </row>
    <row r="167" spans="1:10" x14ac:dyDescent="0.25">
      <c r="A167" s="1">
        <f t="shared" si="2"/>
        <v>94</v>
      </c>
      <c r="B167" s="31" t="s">
        <v>280</v>
      </c>
      <c r="C167" s="58" t="s">
        <v>281</v>
      </c>
      <c r="D167" s="53" t="s">
        <v>335</v>
      </c>
      <c r="E167" s="73"/>
      <c r="F167" s="74"/>
      <c r="G167" s="16"/>
      <c r="H167" s="1"/>
      <c r="I167" s="1"/>
      <c r="J167" s="19"/>
    </row>
    <row r="168" spans="1:10" x14ac:dyDescent="0.25">
      <c r="A168" s="1">
        <f t="shared" si="2"/>
        <v>95</v>
      </c>
      <c r="B168" s="31" t="s">
        <v>282</v>
      </c>
      <c r="C168" s="58" t="s">
        <v>283</v>
      </c>
      <c r="D168" s="53" t="s">
        <v>335</v>
      </c>
      <c r="E168" s="73"/>
      <c r="F168" s="74"/>
      <c r="G168" s="16"/>
      <c r="H168" s="1"/>
      <c r="I168" s="1"/>
      <c r="J168" s="19"/>
    </row>
    <row r="169" spans="1:10" x14ac:dyDescent="0.25">
      <c r="A169" s="1">
        <f t="shared" si="2"/>
        <v>96</v>
      </c>
      <c r="B169" s="31" t="s">
        <v>284</v>
      </c>
      <c r="C169" s="58" t="s">
        <v>285</v>
      </c>
      <c r="D169" s="53" t="s">
        <v>335</v>
      </c>
      <c r="E169" s="73"/>
      <c r="F169" s="74"/>
      <c r="G169" s="16"/>
      <c r="H169" s="1"/>
      <c r="I169" s="1"/>
      <c r="J169" s="19"/>
    </row>
    <row r="170" spans="1:10" x14ac:dyDescent="0.25">
      <c r="A170" s="1">
        <f t="shared" si="2"/>
        <v>97</v>
      </c>
      <c r="B170" s="31" t="s">
        <v>286</v>
      </c>
      <c r="C170" s="58" t="s">
        <v>287</v>
      </c>
      <c r="D170" s="53" t="s">
        <v>335</v>
      </c>
      <c r="E170" s="73"/>
      <c r="F170" s="74"/>
      <c r="G170" s="16"/>
      <c r="H170" s="1"/>
      <c r="I170" s="1"/>
      <c r="J170" s="19"/>
    </row>
    <row r="171" spans="1:10" x14ac:dyDescent="0.25">
      <c r="A171" s="1">
        <f t="shared" si="2"/>
        <v>98</v>
      </c>
      <c r="B171" s="31" t="s">
        <v>288</v>
      </c>
      <c r="C171" s="58" t="s">
        <v>289</v>
      </c>
      <c r="D171" s="53" t="s">
        <v>335</v>
      </c>
      <c r="E171" s="73"/>
      <c r="F171" s="74"/>
      <c r="G171" s="16"/>
      <c r="H171" s="1"/>
      <c r="I171" s="1"/>
      <c r="J171" s="19"/>
    </row>
    <row r="172" spans="1:10" x14ac:dyDescent="0.25">
      <c r="A172" s="1">
        <f t="shared" si="2"/>
        <v>99</v>
      </c>
      <c r="B172" s="31" t="s">
        <v>290</v>
      </c>
      <c r="C172" s="58" t="s">
        <v>291</v>
      </c>
      <c r="D172" s="53" t="s">
        <v>335</v>
      </c>
      <c r="E172" s="73"/>
      <c r="F172" s="74"/>
      <c r="G172" s="16"/>
      <c r="H172" s="1"/>
      <c r="I172" s="1"/>
      <c r="J172" s="19"/>
    </row>
    <row r="173" spans="1:10" x14ac:dyDescent="0.25">
      <c r="A173" s="1">
        <f t="shared" si="2"/>
        <v>100</v>
      </c>
      <c r="B173" s="31" t="s">
        <v>292</v>
      </c>
      <c r="C173" s="58" t="s">
        <v>293</v>
      </c>
      <c r="D173" s="53" t="s">
        <v>335</v>
      </c>
      <c r="E173" s="73"/>
      <c r="F173" s="74"/>
      <c r="G173" s="16"/>
      <c r="H173" s="1"/>
      <c r="I173" s="1"/>
      <c r="J173" s="19"/>
    </row>
    <row r="174" spans="1:10" x14ac:dyDescent="0.25">
      <c r="A174" s="1">
        <f t="shared" si="2"/>
        <v>101</v>
      </c>
      <c r="B174" s="31" t="s">
        <v>294</v>
      </c>
      <c r="C174" s="58" t="s">
        <v>295</v>
      </c>
      <c r="D174" s="53" t="s">
        <v>335</v>
      </c>
      <c r="E174" s="73"/>
      <c r="F174" s="74"/>
      <c r="G174" s="16"/>
      <c r="H174" s="1"/>
      <c r="I174" s="1"/>
      <c r="J174" s="19"/>
    </row>
    <row r="175" spans="1:10" x14ac:dyDescent="0.25">
      <c r="A175" s="1">
        <f t="shared" si="2"/>
        <v>102</v>
      </c>
      <c r="B175" s="31" t="s">
        <v>296</v>
      </c>
      <c r="C175" s="58" t="s">
        <v>297</v>
      </c>
      <c r="D175" s="53" t="s">
        <v>335</v>
      </c>
      <c r="E175" s="73"/>
      <c r="F175" s="74"/>
      <c r="G175" s="16"/>
      <c r="H175" s="1"/>
      <c r="I175" s="1"/>
      <c r="J175" s="19"/>
    </row>
    <row r="176" spans="1:10" x14ac:dyDescent="0.25">
      <c r="A176" s="1">
        <f t="shared" si="2"/>
        <v>103</v>
      </c>
      <c r="B176" s="31" t="s">
        <v>298</v>
      </c>
      <c r="C176" s="58" t="s">
        <v>299</v>
      </c>
      <c r="D176" s="53" t="s">
        <v>335</v>
      </c>
      <c r="E176" s="73"/>
      <c r="F176" s="74"/>
      <c r="G176" s="16"/>
      <c r="H176" s="1"/>
      <c r="I176" s="1"/>
      <c r="J176" s="19"/>
    </row>
    <row r="177" spans="1:10" x14ac:dyDescent="0.25">
      <c r="A177" s="1">
        <f t="shared" si="2"/>
        <v>104</v>
      </c>
      <c r="B177" s="31" t="s">
        <v>300</v>
      </c>
      <c r="C177" s="58" t="s">
        <v>301</v>
      </c>
      <c r="D177" s="53" t="s">
        <v>335</v>
      </c>
      <c r="E177" s="73"/>
      <c r="F177" s="74"/>
      <c r="G177" s="16"/>
      <c r="H177" s="1"/>
      <c r="I177" s="1"/>
      <c r="J177" s="19"/>
    </row>
    <row r="178" spans="1:10" x14ac:dyDescent="0.25">
      <c r="A178" s="1">
        <f t="shared" si="2"/>
        <v>105</v>
      </c>
      <c r="B178" s="31" t="s">
        <v>302</v>
      </c>
      <c r="C178" s="58" t="s">
        <v>303</v>
      </c>
      <c r="D178" s="53" t="s">
        <v>335</v>
      </c>
      <c r="E178" s="73"/>
      <c r="F178" s="74"/>
      <c r="G178" s="16"/>
      <c r="H178" s="1"/>
      <c r="I178" s="1"/>
      <c r="J178" s="19"/>
    </row>
    <row r="179" spans="1:10" x14ac:dyDescent="0.25">
      <c r="A179" s="1">
        <f t="shared" si="2"/>
        <v>106</v>
      </c>
      <c r="B179" s="31" t="s">
        <v>304</v>
      </c>
      <c r="C179" s="58" t="s">
        <v>305</v>
      </c>
      <c r="D179" s="53" t="s">
        <v>335</v>
      </c>
      <c r="E179" s="73"/>
      <c r="F179" s="74"/>
      <c r="G179" s="16"/>
      <c r="H179" s="1"/>
      <c r="I179" s="1"/>
      <c r="J179" s="19"/>
    </row>
    <row r="180" spans="1:10" x14ac:dyDescent="0.25">
      <c r="A180" s="1">
        <f t="shared" si="2"/>
        <v>107</v>
      </c>
      <c r="B180" s="31" t="s">
        <v>306</v>
      </c>
      <c r="C180" s="58" t="s">
        <v>307</v>
      </c>
      <c r="D180" s="53" t="s">
        <v>335</v>
      </c>
      <c r="E180" s="73"/>
      <c r="F180" s="74"/>
      <c r="G180" s="16"/>
      <c r="H180" s="1"/>
      <c r="I180" s="1"/>
      <c r="J180" s="19"/>
    </row>
    <row r="181" spans="1:10" x14ac:dyDescent="0.25">
      <c r="A181" s="1">
        <f t="shared" si="2"/>
        <v>108</v>
      </c>
      <c r="B181" s="31" t="s">
        <v>308</v>
      </c>
      <c r="C181" s="58" t="s">
        <v>309</v>
      </c>
      <c r="D181" s="53" t="s">
        <v>335</v>
      </c>
      <c r="E181" s="73"/>
      <c r="F181" s="74"/>
      <c r="G181" s="16"/>
      <c r="H181" s="1"/>
      <c r="I181" s="1"/>
      <c r="J181" s="19"/>
    </row>
    <row r="182" spans="1:10" x14ac:dyDescent="0.25">
      <c r="A182" s="1">
        <f t="shared" si="2"/>
        <v>109</v>
      </c>
      <c r="B182" s="31" t="s">
        <v>310</v>
      </c>
      <c r="C182" s="58" t="s">
        <v>311</v>
      </c>
      <c r="D182" s="53" t="s">
        <v>334</v>
      </c>
      <c r="E182" s="73"/>
      <c r="F182" s="74"/>
      <c r="G182" s="16"/>
      <c r="H182" s="1"/>
      <c r="I182" s="1"/>
      <c r="J182" s="19"/>
    </row>
    <row r="183" spans="1:10" x14ac:dyDescent="0.25">
      <c r="A183" s="1">
        <f t="shared" si="2"/>
        <v>110</v>
      </c>
      <c r="B183" s="31" t="s">
        <v>312</v>
      </c>
      <c r="C183" s="58" t="s">
        <v>313</v>
      </c>
      <c r="D183" s="53" t="s">
        <v>335</v>
      </c>
      <c r="E183" s="73"/>
      <c r="F183" s="74"/>
      <c r="G183" s="16"/>
      <c r="H183" s="1"/>
      <c r="I183" s="1"/>
      <c r="J183" s="19"/>
    </row>
    <row r="184" spans="1:10" x14ac:dyDescent="0.25">
      <c r="A184" s="1">
        <f t="shared" si="2"/>
        <v>111</v>
      </c>
      <c r="B184" s="31" t="s">
        <v>314</v>
      </c>
      <c r="C184" s="58" t="s">
        <v>315</v>
      </c>
      <c r="D184" s="53" t="s">
        <v>335</v>
      </c>
      <c r="E184" s="73"/>
      <c r="F184" s="74"/>
      <c r="G184" s="16"/>
      <c r="H184" s="1"/>
      <c r="I184" s="1"/>
      <c r="J184" s="19"/>
    </row>
    <row r="185" spans="1:10" x14ac:dyDescent="0.25">
      <c r="A185" s="1">
        <f t="shared" si="2"/>
        <v>112</v>
      </c>
      <c r="B185" s="31" t="s">
        <v>316</v>
      </c>
      <c r="C185" s="58" t="s">
        <v>317</v>
      </c>
      <c r="D185" s="53" t="s">
        <v>335</v>
      </c>
      <c r="E185" s="73"/>
      <c r="F185" s="74"/>
      <c r="G185" s="16"/>
      <c r="H185" s="1"/>
      <c r="I185" s="1"/>
      <c r="J185" s="19"/>
    </row>
    <row r="186" spans="1:10" x14ac:dyDescent="0.25">
      <c r="A186" s="1">
        <f t="shared" si="2"/>
        <v>113</v>
      </c>
      <c r="B186" s="31" t="s">
        <v>318</v>
      </c>
      <c r="C186" s="58" t="s">
        <v>319</v>
      </c>
      <c r="D186" s="53" t="s">
        <v>335</v>
      </c>
      <c r="E186" s="73"/>
      <c r="F186" s="74"/>
      <c r="G186" s="16"/>
      <c r="H186" s="1"/>
      <c r="I186" s="1"/>
      <c r="J186" s="19"/>
    </row>
    <row r="187" spans="1:10" x14ac:dyDescent="0.25">
      <c r="A187" s="1">
        <f t="shared" si="2"/>
        <v>114</v>
      </c>
      <c r="B187" s="31" t="s">
        <v>320</v>
      </c>
      <c r="C187" s="58" t="s">
        <v>321</v>
      </c>
      <c r="D187" s="53" t="s">
        <v>335</v>
      </c>
      <c r="E187" s="73"/>
      <c r="F187" s="74"/>
      <c r="G187" s="16"/>
      <c r="H187" s="1"/>
      <c r="I187" s="1"/>
      <c r="J187" s="19"/>
    </row>
    <row r="188" spans="1:10" x14ac:dyDescent="0.25">
      <c r="A188" s="1">
        <f t="shared" si="2"/>
        <v>115</v>
      </c>
      <c r="B188" s="31" t="s">
        <v>322</v>
      </c>
      <c r="C188" s="58" t="s">
        <v>323</v>
      </c>
      <c r="D188" s="53" t="s">
        <v>335</v>
      </c>
      <c r="E188" s="73"/>
      <c r="F188" s="74"/>
      <c r="G188" s="16"/>
      <c r="H188" s="1"/>
      <c r="I188" s="1"/>
      <c r="J188" s="19"/>
    </row>
    <row r="189" spans="1:10" x14ac:dyDescent="0.25">
      <c r="A189" s="1">
        <f t="shared" si="2"/>
        <v>116</v>
      </c>
      <c r="B189" s="31" t="s">
        <v>324</v>
      </c>
      <c r="C189" s="58" t="s">
        <v>325</v>
      </c>
      <c r="D189" s="53" t="s">
        <v>335</v>
      </c>
      <c r="E189" s="73"/>
      <c r="F189" s="74"/>
      <c r="G189" s="16"/>
      <c r="H189" s="1"/>
      <c r="I189" s="1"/>
      <c r="J189" s="19"/>
    </row>
    <row r="190" spans="1:10" x14ac:dyDescent="0.25">
      <c r="A190" s="1">
        <f t="shared" si="2"/>
        <v>117</v>
      </c>
      <c r="B190" s="31" t="s">
        <v>326</v>
      </c>
      <c r="C190" s="58" t="s">
        <v>327</v>
      </c>
      <c r="D190" s="53" t="s">
        <v>335</v>
      </c>
      <c r="E190" s="73"/>
      <c r="F190" s="74"/>
      <c r="G190" s="16"/>
      <c r="H190" s="1"/>
      <c r="I190" s="1"/>
      <c r="J190" s="19"/>
    </row>
    <row r="191" spans="1:10" x14ac:dyDescent="0.25">
      <c r="A191" s="1">
        <f t="shared" si="2"/>
        <v>118</v>
      </c>
      <c r="B191" s="31" t="s">
        <v>328</v>
      </c>
      <c r="C191" s="58" t="s">
        <v>329</v>
      </c>
      <c r="D191" s="53" t="s">
        <v>335</v>
      </c>
      <c r="E191" s="73"/>
      <c r="F191" s="74"/>
      <c r="G191" s="16"/>
      <c r="H191" s="1"/>
      <c r="I191" s="1"/>
      <c r="J191" s="19"/>
    </row>
    <row r="192" spans="1:10" x14ac:dyDescent="0.25">
      <c r="A192" s="1">
        <f t="shared" si="2"/>
        <v>119</v>
      </c>
      <c r="B192" s="31" t="s">
        <v>330</v>
      </c>
      <c r="C192" s="58" t="s">
        <v>331</v>
      </c>
      <c r="D192" s="53" t="s">
        <v>335</v>
      </c>
      <c r="E192" s="73"/>
      <c r="F192" s="74"/>
      <c r="G192" s="16"/>
      <c r="H192" s="1"/>
      <c r="I192" s="1"/>
      <c r="J192" s="19"/>
    </row>
    <row r="193" spans="1:10" x14ac:dyDescent="0.25">
      <c r="A193" s="1">
        <f t="shared" si="2"/>
        <v>120</v>
      </c>
      <c r="B193" s="31" t="s">
        <v>332</v>
      </c>
      <c r="C193" s="58" t="s">
        <v>333</v>
      </c>
      <c r="D193" s="53" t="s">
        <v>335</v>
      </c>
      <c r="E193" s="73"/>
      <c r="F193" s="74"/>
      <c r="G193" s="16"/>
      <c r="H193" s="1"/>
      <c r="I193" s="1"/>
      <c r="J193" s="19"/>
    </row>
    <row r="194" spans="1:10" x14ac:dyDescent="0.25">
      <c r="A194" s="1">
        <f t="shared" si="2"/>
        <v>121</v>
      </c>
      <c r="B194" s="31"/>
      <c r="C194" s="58"/>
      <c r="D194" s="53"/>
      <c r="E194" s="73"/>
      <c r="F194" s="74"/>
      <c r="G194" s="16"/>
      <c r="H194" s="1"/>
      <c r="I194" s="1"/>
      <c r="J194" s="19"/>
    </row>
    <row r="195" spans="1:10" x14ac:dyDescent="0.25">
      <c r="A195" s="1">
        <f t="shared" si="2"/>
        <v>122</v>
      </c>
      <c r="B195" s="31"/>
      <c r="C195" s="58"/>
      <c r="D195" s="53"/>
      <c r="E195" s="73"/>
      <c r="F195" s="74"/>
      <c r="G195" s="16"/>
      <c r="H195" s="1"/>
      <c r="I195" s="1"/>
      <c r="J195" s="19"/>
    </row>
    <row r="196" spans="1:10" x14ac:dyDescent="0.25">
      <c r="A196" s="1">
        <f t="shared" si="2"/>
        <v>123</v>
      </c>
      <c r="B196" s="31"/>
      <c r="C196" s="58"/>
      <c r="D196" s="53"/>
      <c r="E196" s="73"/>
      <c r="F196" s="74"/>
      <c r="G196" s="16"/>
      <c r="H196" s="1"/>
      <c r="I196" s="1"/>
      <c r="J196" s="19"/>
    </row>
    <row r="197" spans="1:10" x14ac:dyDescent="0.25">
      <c r="A197" s="1">
        <f t="shared" si="2"/>
        <v>124</v>
      </c>
      <c r="B197" s="31"/>
      <c r="C197" s="58"/>
      <c r="D197" s="53"/>
      <c r="E197" s="73"/>
      <c r="F197" s="74"/>
      <c r="G197" s="16"/>
      <c r="H197" s="1"/>
      <c r="I197" s="1"/>
      <c r="J197" s="19"/>
    </row>
    <row r="198" spans="1:10" x14ac:dyDescent="0.25">
      <c r="A198" s="1">
        <f t="shared" si="2"/>
        <v>125</v>
      </c>
      <c r="B198" s="31"/>
      <c r="C198" s="58"/>
      <c r="D198" s="52"/>
      <c r="E198" s="79"/>
      <c r="F198" s="74"/>
      <c r="G198" s="16"/>
      <c r="H198" s="1"/>
      <c r="I198" s="1"/>
      <c r="J198" s="19"/>
    </row>
    <row r="199" spans="1:10" x14ac:dyDescent="0.25">
      <c r="A199" s="1">
        <f t="shared" si="2"/>
        <v>126</v>
      </c>
      <c r="B199" s="31"/>
      <c r="C199" s="58"/>
      <c r="D199" s="52"/>
      <c r="E199" s="79"/>
      <c r="F199" s="74"/>
      <c r="G199" s="16"/>
      <c r="H199" s="1"/>
      <c r="I199" s="1"/>
      <c r="J199" s="19"/>
    </row>
    <row r="200" spans="1:10" x14ac:dyDescent="0.25">
      <c r="A200" s="1">
        <f t="shared" si="2"/>
        <v>127</v>
      </c>
      <c r="B200" s="31"/>
      <c r="C200" s="58"/>
      <c r="D200" s="52"/>
      <c r="E200" s="79"/>
      <c r="F200" s="74"/>
      <c r="G200" s="16"/>
      <c r="H200" s="1"/>
      <c r="I200" s="1"/>
      <c r="J200" s="19"/>
    </row>
    <row r="201" spans="1:10" x14ac:dyDescent="0.25">
      <c r="A201" s="1">
        <f t="shared" si="2"/>
        <v>128</v>
      </c>
      <c r="B201" s="31"/>
      <c r="C201" s="58"/>
      <c r="D201" s="15"/>
      <c r="E201" s="80"/>
      <c r="F201" s="81"/>
      <c r="G201" s="16"/>
      <c r="H201" s="1"/>
      <c r="I201" s="1"/>
      <c r="J201" s="19"/>
    </row>
    <row r="202" spans="1:10" x14ac:dyDescent="0.25">
      <c r="A202" s="1">
        <f t="shared" si="2"/>
        <v>129</v>
      </c>
      <c r="B202" s="31"/>
      <c r="C202" s="58"/>
      <c r="D202" s="15"/>
      <c r="E202" s="80"/>
      <c r="F202" s="81"/>
      <c r="G202" s="16"/>
      <c r="H202" s="1"/>
      <c r="I202" s="1"/>
      <c r="J202" s="19"/>
    </row>
    <row r="203" spans="1:10" x14ac:dyDescent="0.25">
      <c r="A203" s="1">
        <f>A202+1</f>
        <v>130</v>
      </c>
      <c r="B203" s="31"/>
      <c r="C203" s="58"/>
      <c r="D203" s="15"/>
      <c r="E203" s="80"/>
      <c r="F203" s="81"/>
      <c r="G203" s="16"/>
      <c r="H203" s="1"/>
      <c r="I203" s="1"/>
      <c r="J203" s="19"/>
    </row>
    <row r="204" spans="1:10" x14ac:dyDescent="0.25">
      <c r="A204" s="1">
        <f>A70+1</f>
        <v>69</v>
      </c>
      <c r="B204" s="59"/>
      <c r="C204" s="60"/>
      <c r="D204" s="15"/>
      <c r="E204" s="80"/>
      <c r="F204" s="81"/>
      <c r="G204" s="16"/>
      <c r="H204" s="1"/>
      <c r="I204" s="1"/>
      <c r="J204" s="19"/>
    </row>
    <row r="205" spans="1:10" ht="15.75" thickBot="1" x14ac:dyDescent="0.3">
      <c r="A205" s="1">
        <f>A203+1</f>
        <v>131</v>
      </c>
      <c r="B205" s="31"/>
      <c r="C205" s="58"/>
      <c r="D205" s="15"/>
      <c r="E205" s="80"/>
      <c r="F205" s="82"/>
      <c r="G205" s="20"/>
      <c r="H205" s="21"/>
      <c r="I205" s="21"/>
      <c r="J205" s="22"/>
    </row>
  </sheetData>
  <mergeCells count="1">
    <mergeCell ref="A1:C1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05"/>
  <sheetViews>
    <sheetView workbookViewId="0">
      <selection activeCell="M14" sqref="M14"/>
    </sheetView>
  </sheetViews>
  <sheetFormatPr baseColWidth="10" defaultRowHeight="15" x14ac:dyDescent="0.25"/>
  <cols>
    <col min="1" max="1" width="3.5703125" customWidth="1"/>
    <col min="2" max="2" width="40.42578125" customWidth="1"/>
    <col min="7" max="7" width="8" customWidth="1"/>
  </cols>
  <sheetData>
    <row r="1" spans="1:10" ht="15.75" thickBot="1" x14ac:dyDescent="0.3">
      <c r="A1" s="378" t="s">
        <v>8</v>
      </c>
      <c r="B1" s="378"/>
      <c r="C1" s="378"/>
      <c r="D1" s="28"/>
      <c r="E1" s="29"/>
      <c r="F1" s="29" t="s">
        <v>99</v>
      </c>
      <c r="G1" s="29"/>
      <c r="H1" s="30"/>
      <c r="I1" s="83"/>
    </row>
    <row r="2" spans="1:10" ht="15.75" thickBot="1" x14ac:dyDescent="0.3">
      <c r="A2" s="6" t="s">
        <v>3</v>
      </c>
      <c r="B2" s="49" t="s">
        <v>0</v>
      </c>
      <c r="C2" s="48" t="s">
        <v>1</v>
      </c>
      <c r="D2" s="10" t="s">
        <v>2</v>
      </c>
      <c r="E2" s="71" t="s">
        <v>336</v>
      </c>
      <c r="F2" s="72" t="s">
        <v>337</v>
      </c>
      <c r="G2" s="50" t="s">
        <v>10</v>
      </c>
      <c r="H2" s="51" t="s">
        <v>11</v>
      </c>
      <c r="I2" s="17" t="s">
        <v>12</v>
      </c>
      <c r="J2" s="18" t="s">
        <v>13</v>
      </c>
    </row>
    <row r="3" spans="1:10" x14ac:dyDescent="0.25">
      <c r="A3" s="1">
        <v>1</v>
      </c>
      <c r="B3" s="1" t="s">
        <v>14</v>
      </c>
      <c r="C3" s="4" t="s">
        <v>100</v>
      </c>
      <c r="D3" s="53" t="s">
        <v>5</v>
      </c>
      <c r="E3" s="73"/>
      <c r="F3" s="74"/>
      <c r="G3" s="16"/>
      <c r="H3" s="68"/>
      <c r="I3" s="1"/>
      <c r="J3" s="19"/>
    </row>
    <row r="4" spans="1:10" x14ac:dyDescent="0.25">
      <c r="A4" s="1">
        <f>A3+1</f>
        <v>2</v>
      </c>
      <c r="B4" s="1" t="s">
        <v>15</v>
      </c>
      <c r="C4" s="4"/>
      <c r="D4" s="53" t="s">
        <v>5</v>
      </c>
      <c r="E4" s="73"/>
      <c r="F4" s="74"/>
      <c r="G4" s="16"/>
      <c r="H4" s="1"/>
      <c r="I4" s="1"/>
      <c r="J4" s="19"/>
    </row>
    <row r="5" spans="1:10" x14ac:dyDescent="0.25">
      <c r="A5" s="1">
        <f t="shared" ref="A5:A68" si="0">A4+1</f>
        <v>3</v>
      </c>
      <c r="B5" s="3" t="s">
        <v>16</v>
      </c>
      <c r="C5" s="5" t="s">
        <v>101</v>
      </c>
      <c r="D5" s="54" t="s">
        <v>5</v>
      </c>
      <c r="E5" s="73"/>
      <c r="F5" s="74"/>
      <c r="G5" s="16"/>
      <c r="H5" s="1"/>
      <c r="I5" s="1"/>
      <c r="J5" s="19"/>
    </row>
    <row r="6" spans="1:10" x14ac:dyDescent="0.25">
      <c r="A6" s="1">
        <f t="shared" si="0"/>
        <v>4</v>
      </c>
      <c r="B6" s="1" t="s">
        <v>17</v>
      </c>
      <c r="C6" s="4"/>
      <c r="D6" s="53" t="s">
        <v>5</v>
      </c>
      <c r="E6" s="73"/>
      <c r="F6" s="74"/>
      <c r="G6" s="16"/>
      <c r="H6" s="1"/>
      <c r="I6" s="1"/>
      <c r="J6" s="19"/>
    </row>
    <row r="7" spans="1:10" x14ac:dyDescent="0.25">
      <c r="A7" s="1">
        <f t="shared" si="0"/>
        <v>5</v>
      </c>
      <c r="B7" s="1" t="s">
        <v>18</v>
      </c>
      <c r="C7" s="4"/>
      <c r="D7" s="53" t="s">
        <v>5</v>
      </c>
      <c r="E7" s="73"/>
      <c r="F7" s="74"/>
      <c r="G7" s="16"/>
      <c r="H7" s="1"/>
      <c r="I7" s="1"/>
      <c r="J7" s="19"/>
    </row>
    <row r="8" spans="1:10" x14ac:dyDescent="0.25">
      <c r="A8" s="1">
        <f t="shared" si="0"/>
        <v>6</v>
      </c>
      <c r="B8" s="1" t="s">
        <v>19</v>
      </c>
      <c r="C8" s="4"/>
      <c r="D8" s="53" t="s">
        <v>5</v>
      </c>
      <c r="E8" s="73"/>
      <c r="F8" s="74"/>
      <c r="G8" s="16"/>
      <c r="H8" s="1"/>
      <c r="I8" s="1"/>
      <c r="J8" s="19"/>
    </row>
    <row r="9" spans="1:10" x14ac:dyDescent="0.25">
      <c r="A9" s="1">
        <f t="shared" si="0"/>
        <v>7</v>
      </c>
      <c r="B9" s="1" t="s">
        <v>20</v>
      </c>
      <c r="C9" s="4"/>
      <c r="D9" s="53" t="s">
        <v>5</v>
      </c>
      <c r="E9" s="73"/>
      <c r="F9" s="74"/>
      <c r="G9" s="16"/>
      <c r="H9" s="1"/>
      <c r="I9" s="1"/>
      <c r="J9" s="19"/>
    </row>
    <row r="10" spans="1:10" x14ac:dyDescent="0.25">
      <c r="A10" s="1">
        <f t="shared" si="0"/>
        <v>8</v>
      </c>
      <c r="B10" s="1" t="s">
        <v>21</v>
      </c>
      <c r="C10" s="4"/>
      <c r="D10" s="53" t="s">
        <v>5</v>
      </c>
      <c r="E10" s="73"/>
      <c r="F10" s="74"/>
      <c r="G10" s="16"/>
      <c r="H10" s="1"/>
      <c r="I10" s="1"/>
      <c r="J10" s="19"/>
    </row>
    <row r="11" spans="1:10" x14ac:dyDescent="0.25">
      <c r="A11" s="1">
        <f t="shared" si="0"/>
        <v>9</v>
      </c>
      <c r="B11" s="1" t="s">
        <v>22</v>
      </c>
      <c r="C11" s="4"/>
      <c r="D11" s="53" t="s">
        <v>5</v>
      </c>
      <c r="E11" s="73"/>
      <c r="F11" s="74"/>
      <c r="G11" s="16"/>
      <c r="H11" s="1"/>
      <c r="I11" s="1"/>
      <c r="J11" s="19"/>
    </row>
    <row r="12" spans="1:10" x14ac:dyDescent="0.25">
      <c r="A12" s="1">
        <f t="shared" si="0"/>
        <v>10</v>
      </c>
      <c r="B12" s="1" t="s">
        <v>23</v>
      </c>
      <c r="C12" s="4"/>
      <c r="D12" s="53" t="s">
        <v>5</v>
      </c>
      <c r="E12" s="73"/>
      <c r="F12" s="74"/>
      <c r="G12" s="16"/>
      <c r="H12" s="1"/>
      <c r="I12" s="1"/>
      <c r="J12" s="19"/>
    </row>
    <row r="13" spans="1:10" x14ac:dyDescent="0.25">
      <c r="A13" s="1">
        <f t="shared" si="0"/>
        <v>11</v>
      </c>
      <c r="B13" s="1" t="s">
        <v>24</v>
      </c>
      <c r="C13" s="4"/>
      <c r="D13" s="53" t="s">
        <v>5</v>
      </c>
      <c r="E13" s="73"/>
      <c r="F13" s="74"/>
      <c r="G13" s="16"/>
      <c r="H13" s="1"/>
      <c r="I13" s="1"/>
      <c r="J13" s="19"/>
    </row>
    <row r="14" spans="1:10" x14ac:dyDescent="0.25">
      <c r="A14" s="1">
        <f t="shared" si="0"/>
        <v>12</v>
      </c>
      <c r="B14" s="1" t="s">
        <v>25</v>
      </c>
      <c r="C14" s="4"/>
      <c r="D14" s="53" t="s">
        <v>5</v>
      </c>
      <c r="E14" s="73"/>
      <c r="F14" s="74"/>
      <c r="G14" s="16"/>
      <c r="H14" s="1"/>
      <c r="I14" s="1"/>
      <c r="J14" s="19"/>
    </row>
    <row r="15" spans="1:10" x14ac:dyDescent="0.25">
      <c r="A15" s="1">
        <f t="shared" si="0"/>
        <v>13</v>
      </c>
      <c r="B15" s="1" t="s">
        <v>26</v>
      </c>
      <c r="C15" s="4"/>
      <c r="D15" s="53" t="s">
        <v>5</v>
      </c>
      <c r="E15" s="73"/>
      <c r="F15" s="74"/>
      <c r="G15" s="16"/>
      <c r="H15" s="1"/>
      <c r="I15" s="1"/>
      <c r="J15" s="19"/>
    </row>
    <row r="16" spans="1:10" x14ac:dyDescent="0.25">
      <c r="A16" s="1">
        <f t="shared" si="0"/>
        <v>14</v>
      </c>
      <c r="B16" s="1" t="s">
        <v>27</v>
      </c>
      <c r="C16" s="4"/>
      <c r="D16" s="53" t="s">
        <v>5</v>
      </c>
      <c r="E16" s="73"/>
      <c r="F16" s="74"/>
      <c r="G16" s="16"/>
      <c r="H16" s="1"/>
      <c r="I16" s="1"/>
      <c r="J16" s="19"/>
    </row>
    <row r="17" spans="1:10" x14ac:dyDescent="0.25">
      <c r="A17" s="1">
        <f t="shared" si="0"/>
        <v>15</v>
      </c>
      <c r="B17" s="31" t="s">
        <v>28</v>
      </c>
      <c r="C17" s="4"/>
      <c r="D17" s="53" t="s">
        <v>5</v>
      </c>
      <c r="E17" s="73"/>
      <c r="F17" s="74"/>
      <c r="G17" s="16"/>
      <c r="H17" s="1"/>
      <c r="I17" s="1"/>
      <c r="J17" s="19"/>
    </row>
    <row r="18" spans="1:10" x14ac:dyDescent="0.25">
      <c r="A18" s="1">
        <f t="shared" si="0"/>
        <v>16</v>
      </c>
      <c r="B18" s="1" t="s">
        <v>29</v>
      </c>
      <c r="C18" s="4"/>
      <c r="D18" s="53" t="s">
        <v>7</v>
      </c>
      <c r="E18" s="73"/>
      <c r="F18" s="74"/>
      <c r="G18" s="16"/>
      <c r="H18" s="1"/>
      <c r="I18" s="1"/>
      <c r="J18" s="19"/>
    </row>
    <row r="19" spans="1:10" x14ac:dyDescent="0.25">
      <c r="A19" s="1">
        <f t="shared" si="0"/>
        <v>17</v>
      </c>
      <c r="B19" s="1" t="s">
        <v>30</v>
      </c>
      <c r="C19" s="4"/>
      <c r="D19" s="53" t="s">
        <v>5</v>
      </c>
      <c r="E19" s="73"/>
      <c r="F19" s="74"/>
      <c r="G19" s="16"/>
      <c r="H19" s="1"/>
      <c r="I19" s="1"/>
      <c r="J19" s="19"/>
    </row>
    <row r="20" spans="1:10" x14ac:dyDescent="0.25">
      <c r="A20" s="1">
        <f t="shared" si="0"/>
        <v>18</v>
      </c>
      <c r="B20" s="1" t="s">
        <v>31</v>
      </c>
      <c r="C20" s="4"/>
      <c r="D20" s="53" t="s">
        <v>5</v>
      </c>
      <c r="E20" s="73"/>
      <c r="F20" s="74"/>
      <c r="G20" s="16"/>
      <c r="H20" s="1"/>
      <c r="I20" s="1"/>
      <c r="J20" s="19"/>
    </row>
    <row r="21" spans="1:10" x14ac:dyDescent="0.25">
      <c r="A21" s="1">
        <f t="shared" si="0"/>
        <v>19</v>
      </c>
      <c r="B21" s="1" t="s">
        <v>32</v>
      </c>
      <c r="C21" s="4"/>
      <c r="D21" s="53" t="s">
        <v>5</v>
      </c>
      <c r="E21" s="73"/>
      <c r="F21" s="74"/>
      <c r="G21" s="16"/>
      <c r="H21" s="1"/>
      <c r="I21" s="1"/>
      <c r="J21" s="19"/>
    </row>
    <row r="22" spans="1:10" x14ac:dyDescent="0.25">
      <c r="A22" s="1">
        <f t="shared" si="0"/>
        <v>20</v>
      </c>
      <c r="B22" s="1" t="s">
        <v>33</v>
      </c>
      <c r="C22" s="4"/>
      <c r="D22" s="53" t="s">
        <v>5</v>
      </c>
      <c r="E22" s="73"/>
      <c r="F22" s="74"/>
      <c r="G22" s="16"/>
      <c r="H22" s="1"/>
      <c r="I22" s="1"/>
      <c r="J22" s="19"/>
    </row>
    <row r="23" spans="1:10" x14ac:dyDescent="0.25">
      <c r="A23" s="1">
        <f t="shared" si="0"/>
        <v>21</v>
      </c>
      <c r="B23" s="1" t="s">
        <v>34</v>
      </c>
      <c r="C23" s="4"/>
      <c r="D23" s="53" t="s">
        <v>5</v>
      </c>
      <c r="E23" s="73"/>
      <c r="F23" s="74"/>
      <c r="G23" s="16"/>
      <c r="H23" s="1"/>
      <c r="I23" s="1"/>
      <c r="J23" s="19"/>
    </row>
    <row r="24" spans="1:10" x14ac:dyDescent="0.25">
      <c r="A24" s="1">
        <f t="shared" si="0"/>
        <v>22</v>
      </c>
      <c r="B24" s="1" t="s">
        <v>35</v>
      </c>
      <c r="C24" s="4"/>
      <c r="D24" s="53" t="s">
        <v>5</v>
      </c>
      <c r="E24" s="73"/>
      <c r="F24" s="74"/>
      <c r="G24" s="16"/>
      <c r="H24" s="1"/>
      <c r="I24" s="1"/>
      <c r="J24" s="19"/>
    </row>
    <row r="25" spans="1:10" x14ac:dyDescent="0.25">
      <c r="A25" s="1">
        <f t="shared" si="0"/>
        <v>23</v>
      </c>
      <c r="B25" s="1" t="s">
        <v>36</v>
      </c>
      <c r="C25" s="4"/>
      <c r="D25" s="53" t="s">
        <v>5</v>
      </c>
      <c r="E25" s="73"/>
      <c r="F25" s="74"/>
      <c r="G25" s="16"/>
      <c r="H25" s="1"/>
      <c r="I25" s="1"/>
      <c r="J25" s="19"/>
    </row>
    <row r="26" spans="1:10" x14ac:dyDescent="0.25">
      <c r="A26" s="1">
        <f t="shared" si="0"/>
        <v>24</v>
      </c>
      <c r="B26" s="1" t="s">
        <v>37</v>
      </c>
      <c r="C26" s="4"/>
      <c r="D26" s="53" t="s">
        <v>5</v>
      </c>
      <c r="E26" s="73"/>
      <c r="F26" s="74"/>
      <c r="G26" s="16"/>
      <c r="H26" s="1"/>
      <c r="I26" s="1"/>
      <c r="J26" s="19"/>
    </row>
    <row r="27" spans="1:10" x14ac:dyDescent="0.25">
      <c r="A27" s="1">
        <f t="shared" si="0"/>
        <v>25</v>
      </c>
      <c r="B27" s="1" t="s">
        <v>38</v>
      </c>
      <c r="C27" s="4"/>
      <c r="D27" s="53" t="s">
        <v>5</v>
      </c>
      <c r="E27" s="73"/>
      <c r="F27" s="74"/>
      <c r="G27" s="16"/>
      <c r="H27" s="1"/>
      <c r="I27" s="1"/>
      <c r="J27" s="19"/>
    </row>
    <row r="28" spans="1:10" x14ac:dyDescent="0.25">
      <c r="A28" s="1">
        <f t="shared" si="0"/>
        <v>26</v>
      </c>
      <c r="B28" s="1" t="s">
        <v>39</v>
      </c>
      <c r="C28" s="4"/>
      <c r="D28" s="53" t="s">
        <v>5</v>
      </c>
      <c r="E28" s="73"/>
      <c r="F28" s="74"/>
      <c r="G28" s="16"/>
      <c r="H28" s="1"/>
      <c r="I28" s="1"/>
      <c r="J28" s="19"/>
    </row>
    <row r="29" spans="1:10" x14ac:dyDescent="0.25">
      <c r="A29" s="1">
        <f t="shared" si="0"/>
        <v>27</v>
      </c>
      <c r="B29" s="1" t="s">
        <v>40</v>
      </c>
      <c r="C29" s="4"/>
      <c r="D29" s="53" t="s">
        <v>5</v>
      </c>
      <c r="E29" s="73"/>
      <c r="F29" s="74"/>
      <c r="G29" s="16"/>
      <c r="H29" s="1"/>
      <c r="I29" s="1"/>
      <c r="J29" s="19"/>
    </row>
    <row r="30" spans="1:10" x14ac:dyDescent="0.25">
      <c r="A30" s="1">
        <f t="shared" si="0"/>
        <v>28</v>
      </c>
      <c r="B30" s="1" t="s">
        <v>41</v>
      </c>
      <c r="C30" s="4"/>
      <c r="D30" s="53" t="s">
        <v>5</v>
      </c>
      <c r="E30" s="73"/>
      <c r="F30" s="74"/>
      <c r="G30" s="16"/>
      <c r="H30" s="1"/>
      <c r="I30" s="1"/>
      <c r="J30" s="19"/>
    </row>
    <row r="31" spans="1:10" x14ac:dyDescent="0.25">
      <c r="A31" s="1">
        <f t="shared" si="0"/>
        <v>29</v>
      </c>
      <c r="B31" s="1" t="s">
        <v>42</v>
      </c>
      <c r="C31" s="4"/>
      <c r="D31" s="53" t="s">
        <v>5</v>
      </c>
      <c r="E31" s="73"/>
      <c r="F31" s="74"/>
      <c r="G31" s="16"/>
      <c r="H31" s="1"/>
      <c r="I31" s="1"/>
      <c r="J31" s="19"/>
    </row>
    <row r="32" spans="1:10" x14ac:dyDescent="0.25">
      <c r="A32" s="1">
        <f t="shared" si="0"/>
        <v>30</v>
      </c>
      <c r="B32" s="1" t="s">
        <v>43</v>
      </c>
      <c r="C32" s="4"/>
      <c r="D32" s="53" t="s">
        <v>5</v>
      </c>
      <c r="E32" s="73"/>
      <c r="F32" s="74"/>
      <c r="G32" s="16"/>
      <c r="H32" s="1"/>
      <c r="I32" s="1"/>
      <c r="J32" s="19"/>
    </row>
    <row r="33" spans="1:10" x14ac:dyDescent="0.25">
      <c r="A33" s="1">
        <f t="shared" si="0"/>
        <v>31</v>
      </c>
      <c r="B33" s="1" t="s">
        <v>44</v>
      </c>
      <c r="C33" s="4"/>
      <c r="D33" s="53" t="s">
        <v>5</v>
      </c>
      <c r="E33" s="73"/>
      <c r="F33" s="74"/>
      <c r="G33" s="16"/>
      <c r="H33" s="1"/>
      <c r="I33" s="1"/>
      <c r="J33" s="19"/>
    </row>
    <row r="34" spans="1:10" x14ac:dyDescent="0.25">
      <c r="A34" s="1">
        <f t="shared" si="0"/>
        <v>32</v>
      </c>
      <c r="B34" s="1" t="s">
        <v>45</v>
      </c>
      <c r="C34" s="4"/>
      <c r="D34" s="53" t="s">
        <v>5</v>
      </c>
      <c r="E34" s="73"/>
      <c r="F34" s="74"/>
      <c r="G34" s="16"/>
      <c r="H34" s="1"/>
      <c r="I34" s="1"/>
      <c r="J34" s="19"/>
    </row>
    <row r="35" spans="1:10" x14ac:dyDescent="0.25">
      <c r="A35" s="1">
        <f t="shared" si="0"/>
        <v>33</v>
      </c>
      <c r="B35" s="1" t="s">
        <v>46</v>
      </c>
      <c r="C35" s="4"/>
      <c r="D35" s="53" t="s">
        <v>5</v>
      </c>
      <c r="E35" s="73"/>
      <c r="F35" s="74"/>
      <c r="G35" s="16"/>
      <c r="H35" s="1"/>
      <c r="I35" s="1"/>
      <c r="J35" s="19"/>
    </row>
    <row r="36" spans="1:10" x14ac:dyDescent="0.25">
      <c r="A36" s="1">
        <f t="shared" si="0"/>
        <v>34</v>
      </c>
      <c r="B36" s="1" t="s">
        <v>47</v>
      </c>
      <c r="C36" s="4"/>
      <c r="D36" s="53" t="s">
        <v>5</v>
      </c>
      <c r="E36" s="73"/>
      <c r="F36" s="74"/>
      <c r="G36" s="16"/>
      <c r="H36" s="1"/>
      <c r="I36" s="1"/>
      <c r="J36" s="19"/>
    </row>
    <row r="37" spans="1:10" x14ac:dyDescent="0.25">
      <c r="A37" s="1">
        <f t="shared" si="0"/>
        <v>35</v>
      </c>
      <c r="B37" s="1" t="s">
        <v>48</v>
      </c>
      <c r="C37" s="4"/>
      <c r="D37" s="53" t="s">
        <v>5</v>
      </c>
      <c r="E37" s="73"/>
      <c r="F37" s="74"/>
      <c r="G37" s="16"/>
      <c r="H37" s="1"/>
      <c r="I37" s="1"/>
      <c r="J37" s="19"/>
    </row>
    <row r="38" spans="1:10" x14ac:dyDescent="0.25">
      <c r="A38" s="1">
        <f t="shared" si="0"/>
        <v>36</v>
      </c>
      <c r="B38" s="1" t="s">
        <v>49</v>
      </c>
      <c r="C38" s="4"/>
      <c r="D38" s="53" t="s">
        <v>5</v>
      </c>
      <c r="E38" s="73"/>
      <c r="F38" s="74"/>
      <c r="G38" s="16"/>
      <c r="H38" s="1"/>
      <c r="I38" s="1"/>
      <c r="J38" s="19"/>
    </row>
    <row r="39" spans="1:10" x14ac:dyDescent="0.25">
      <c r="A39" s="1">
        <f t="shared" si="0"/>
        <v>37</v>
      </c>
      <c r="B39" s="1" t="s">
        <v>50</v>
      </c>
      <c r="C39" s="4"/>
      <c r="D39" s="53" t="s">
        <v>5</v>
      </c>
      <c r="E39" s="73"/>
      <c r="F39" s="74"/>
      <c r="G39" s="16"/>
      <c r="H39" s="1"/>
      <c r="I39" s="1"/>
      <c r="J39" s="19"/>
    </row>
    <row r="40" spans="1:10" x14ac:dyDescent="0.25">
      <c r="A40" s="1">
        <f t="shared" si="0"/>
        <v>38</v>
      </c>
      <c r="B40" s="3" t="s">
        <v>51</v>
      </c>
      <c r="C40" s="5"/>
      <c r="D40" s="54" t="s">
        <v>5</v>
      </c>
      <c r="E40" s="73"/>
      <c r="F40" s="74"/>
      <c r="G40" s="16"/>
      <c r="H40" s="1"/>
      <c r="I40" s="1"/>
      <c r="J40" s="19"/>
    </row>
    <row r="41" spans="1:10" x14ac:dyDescent="0.25">
      <c r="A41" s="1">
        <f t="shared" si="0"/>
        <v>39</v>
      </c>
      <c r="B41" s="1" t="s">
        <v>52</v>
      </c>
      <c r="C41" s="4"/>
      <c r="D41" s="53" t="s">
        <v>5</v>
      </c>
      <c r="E41" s="73"/>
      <c r="F41" s="74"/>
      <c r="G41" s="16"/>
      <c r="H41" s="1"/>
      <c r="I41" s="1"/>
      <c r="J41" s="19"/>
    </row>
    <row r="42" spans="1:10" x14ac:dyDescent="0.25">
      <c r="A42" s="1">
        <f t="shared" si="0"/>
        <v>40</v>
      </c>
      <c r="B42" s="1" t="s">
        <v>53</v>
      </c>
      <c r="C42" s="4"/>
      <c r="D42" s="53" t="s">
        <v>5</v>
      </c>
      <c r="E42" s="73"/>
      <c r="F42" s="74"/>
      <c r="G42" s="16"/>
      <c r="H42" s="1"/>
      <c r="I42" s="1"/>
      <c r="J42" s="19"/>
    </row>
    <row r="43" spans="1:10" x14ac:dyDescent="0.25">
      <c r="A43" s="1">
        <f t="shared" si="0"/>
        <v>41</v>
      </c>
      <c r="B43" s="1" t="s">
        <v>54</v>
      </c>
      <c r="C43" s="4"/>
      <c r="D43" s="53" t="s">
        <v>5</v>
      </c>
      <c r="E43" s="73"/>
      <c r="F43" s="74"/>
      <c r="G43" s="16"/>
      <c r="H43" s="1"/>
      <c r="I43" s="1"/>
      <c r="J43" s="19"/>
    </row>
    <row r="44" spans="1:10" x14ac:dyDescent="0.25">
      <c r="A44" s="1">
        <f t="shared" si="0"/>
        <v>42</v>
      </c>
      <c r="B44" s="1" t="s">
        <v>55</v>
      </c>
      <c r="C44" s="4"/>
      <c r="D44" s="53" t="s">
        <v>5</v>
      </c>
      <c r="E44" s="73"/>
      <c r="F44" s="74"/>
      <c r="G44" s="16"/>
      <c r="H44" s="1"/>
      <c r="I44" s="1"/>
      <c r="J44" s="19"/>
    </row>
    <row r="45" spans="1:10" x14ac:dyDescent="0.25">
      <c r="A45" s="1">
        <f t="shared" si="0"/>
        <v>43</v>
      </c>
      <c r="B45" s="1" t="s">
        <v>56</v>
      </c>
      <c r="C45" s="4"/>
      <c r="D45" s="53" t="s">
        <v>5</v>
      </c>
      <c r="E45" s="73"/>
      <c r="F45" s="74"/>
      <c r="G45" s="16"/>
      <c r="H45" s="1"/>
      <c r="I45" s="1"/>
      <c r="J45" s="19"/>
    </row>
    <row r="46" spans="1:10" x14ac:dyDescent="0.25">
      <c r="A46" s="1">
        <f t="shared" si="0"/>
        <v>44</v>
      </c>
      <c r="B46" s="1" t="s">
        <v>57</v>
      </c>
      <c r="C46" s="4"/>
      <c r="D46" s="53" t="s">
        <v>5</v>
      </c>
      <c r="E46" s="73"/>
      <c r="F46" s="74"/>
      <c r="G46" s="16"/>
      <c r="H46" s="1"/>
      <c r="I46" s="1"/>
      <c r="J46" s="19"/>
    </row>
    <row r="47" spans="1:10" x14ac:dyDescent="0.25">
      <c r="A47" s="1">
        <f t="shared" si="0"/>
        <v>45</v>
      </c>
      <c r="B47" s="1" t="s">
        <v>58</v>
      </c>
      <c r="C47" s="4"/>
      <c r="D47" s="53" t="s">
        <v>5</v>
      </c>
      <c r="E47" s="73"/>
      <c r="F47" s="74"/>
      <c r="G47" s="16"/>
      <c r="H47" s="1"/>
      <c r="I47" s="1"/>
      <c r="J47" s="19"/>
    </row>
    <row r="48" spans="1:10" x14ac:dyDescent="0.25">
      <c r="A48" s="1">
        <f t="shared" si="0"/>
        <v>46</v>
      </c>
      <c r="B48" s="1" t="s">
        <v>59</v>
      </c>
      <c r="C48" s="4"/>
      <c r="D48" s="53" t="s">
        <v>5</v>
      </c>
      <c r="E48" s="73"/>
      <c r="F48" s="74"/>
      <c r="G48" s="16"/>
      <c r="H48" s="1"/>
      <c r="I48" s="1"/>
      <c r="J48" s="19"/>
    </row>
    <row r="49" spans="1:10" x14ac:dyDescent="0.25">
      <c r="A49" s="1">
        <f t="shared" si="0"/>
        <v>47</v>
      </c>
      <c r="B49" s="1" t="s">
        <v>40</v>
      </c>
      <c r="C49" s="4"/>
      <c r="D49" s="53" t="s">
        <v>5</v>
      </c>
      <c r="E49" s="73"/>
      <c r="F49" s="74"/>
      <c r="G49" s="16"/>
      <c r="H49" s="1"/>
      <c r="I49" s="1"/>
      <c r="J49" s="19"/>
    </row>
    <row r="50" spans="1:10" x14ac:dyDescent="0.25">
      <c r="A50" s="1">
        <f t="shared" si="0"/>
        <v>48</v>
      </c>
      <c r="B50" s="1" t="s">
        <v>60</v>
      </c>
      <c r="C50" s="4"/>
      <c r="D50" s="53" t="s">
        <v>5</v>
      </c>
      <c r="E50" s="73"/>
      <c r="F50" s="74"/>
      <c r="G50" s="16"/>
      <c r="H50" s="1"/>
      <c r="I50" s="1"/>
      <c r="J50" s="19"/>
    </row>
    <row r="51" spans="1:10" x14ac:dyDescent="0.25">
      <c r="A51" s="1">
        <f t="shared" si="0"/>
        <v>49</v>
      </c>
      <c r="B51" s="1" t="s">
        <v>61</v>
      </c>
      <c r="C51" s="4"/>
      <c r="D51" s="53" t="s">
        <v>5</v>
      </c>
      <c r="E51" s="73"/>
      <c r="F51" s="74"/>
      <c r="G51" s="16"/>
      <c r="H51" s="1"/>
      <c r="I51" s="1"/>
      <c r="J51" s="19"/>
    </row>
    <row r="52" spans="1:10" x14ac:dyDescent="0.25">
      <c r="A52" s="1">
        <f t="shared" si="0"/>
        <v>50</v>
      </c>
      <c r="B52" s="3" t="s">
        <v>62</v>
      </c>
      <c r="C52" s="5"/>
      <c r="D52" s="54" t="s">
        <v>5</v>
      </c>
      <c r="E52" s="73"/>
      <c r="F52" s="74"/>
      <c r="G52" s="16"/>
      <c r="H52" s="1"/>
      <c r="I52" s="1"/>
      <c r="J52" s="19"/>
    </row>
    <row r="53" spans="1:10" x14ac:dyDescent="0.25">
      <c r="A53" s="1">
        <f t="shared" si="0"/>
        <v>51</v>
      </c>
      <c r="B53" s="1" t="s">
        <v>63</v>
      </c>
      <c r="C53" s="4"/>
      <c r="D53" s="53" t="s">
        <v>5</v>
      </c>
      <c r="E53" s="73"/>
      <c r="F53" s="74"/>
      <c r="G53" s="16"/>
      <c r="H53" s="1"/>
      <c r="I53" s="1"/>
      <c r="J53" s="19"/>
    </row>
    <row r="54" spans="1:10" x14ac:dyDescent="0.25">
      <c r="A54" s="1">
        <f t="shared" si="0"/>
        <v>52</v>
      </c>
      <c r="B54" s="1" t="s">
        <v>64</v>
      </c>
      <c r="C54" s="4"/>
      <c r="D54" s="53" t="s">
        <v>5</v>
      </c>
      <c r="E54" s="73"/>
      <c r="F54" s="74"/>
      <c r="G54" s="16"/>
      <c r="H54" s="1"/>
      <c r="I54" s="1"/>
      <c r="J54" s="19"/>
    </row>
    <row r="55" spans="1:10" x14ac:dyDescent="0.25">
      <c r="A55" s="1">
        <f t="shared" si="0"/>
        <v>53</v>
      </c>
      <c r="B55" s="1" t="s">
        <v>65</v>
      </c>
      <c r="C55" s="4"/>
      <c r="D55" s="53" t="s">
        <v>5</v>
      </c>
      <c r="E55" s="73"/>
      <c r="F55" s="74"/>
      <c r="G55" s="16"/>
      <c r="H55" s="1"/>
      <c r="I55" s="1"/>
      <c r="J55" s="19"/>
    </row>
    <row r="56" spans="1:10" x14ac:dyDescent="0.25">
      <c r="A56" s="1">
        <f t="shared" si="0"/>
        <v>54</v>
      </c>
      <c r="B56" s="1" t="s">
        <v>66</v>
      </c>
      <c r="C56" s="4"/>
      <c r="D56" s="53" t="s">
        <v>5</v>
      </c>
      <c r="E56" s="73"/>
      <c r="F56" s="74"/>
      <c r="G56" s="16"/>
      <c r="H56" s="1"/>
      <c r="I56" s="1"/>
      <c r="J56" s="19"/>
    </row>
    <row r="57" spans="1:10" x14ac:dyDescent="0.25">
      <c r="A57" s="1">
        <f t="shared" si="0"/>
        <v>55</v>
      </c>
      <c r="B57" s="1" t="s">
        <v>67</v>
      </c>
      <c r="C57" s="4"/>
      <c r="D57" s="53" t="s">
        <v>5</v>
      </c>
      <c r="E57" s="73"/>
      <c r="F57" s="74"/>
      <c r="G57" s="16"/>
      <c r="H57" s="1"/>
      <c r="I57" s="1"/>
      <c r="J57" s="19"/>
    </row>
    <row r="58" spans="1:10" x14ac:dyDescent="0.25">
      <c r="A58" s="1">
        <f t="shared" si="0"/>
        <v>56</v>
      </c>
      <c r="B58" s="1" t="s">
        <v>68</v>
      </c>
      <c r="C58" s="4"/>
      <c r="D58" s="53" t="s">
        <v>5</v>
      </c>
      <c r="E58" s="73"/>
      <c r="F58" s="74"/>
      <c r="G58" s="16"/>
      <c r="H58" s="1"/>
      <c r="I58" s="1"/>
      <c r="J58" s="19"/>
    </row>
    <row r="59" spans="1:10" x14ac:dyDescent="0.25">
      <c r="A59" s="1">
        <f t="shared" si="0"/>
        <v>57</v>
      </c>
      <c r="B59" s="1" t="s">
        <v>69</v>
      </c>
      <c r="C59" s="4"/>
      <c r="D59" s="53" t="s">
        <v>5</v>
      </c>
      <c r="E59" s="73"/>
      <c r="F59" s="74"/>
      <c r="G59" s="16"/>
      <c r="H59" s="1"/>
      <c r="I59" s="1"/>
      <c r="J59" s="19"/>
    </row>
    <row r="60" spans="1:10" x14ac:dyDescent="0.25">
      <c r="A60" s="1">
        <f t="shared" si="0"/>
        <v>58</v>
      </c>
      <c r="B60" s="1" t="s">
        <v>70</v>
      </c>
      <c r="C60" s="4" t="s">
        <v>90</v>
      </c>
      <c r="D60" s="53" t="s">
        <v>5</v>
      </c>
      <c r="E60" s="73"/>
      <c r="F60" s="74"/>
      <c r="G60" s="16"/>
      <c r="H60" s="1"/>
      <c r="I60" s="1"/>
      <c r="J60" s="19"/>
    </row>
    <row r="61" spans="1:10" x14ac:dyDescent="0.25">
      <c r="A61" s="1">
        <f t="shared" si="0"/>
        <v>59</v>
      </c>
      <c r="B61" s="1" t="s">
        <v>71</v>
      </c>
      <c r="C61" s="4" t="s">
        <v>89</v>
      </c>
      <c r="D61" s="53" t="s">
        <v>5</v>
      </c>
      <c r="E61" s="73"/>
      <c r="F61" s="74"/>
      <c r="G61" s="16"/>
      <c r="H61" s="1"/>
      <c r="I61" s="1"/>
      <c r="J61" s="19"/>
    </row>
    <row r="62" spans="1:10" x14ac:dyDescent="0.25">
      <c r="A62" s="1">
        <f t="shared" si="0"/>
        <v>60</v>
      </c>
      <c r="B62" s="1" t="s">
        <v>72</v>
      </c>
      <c r="C62" s="4" t="s">
        <v>88</v>
      </c>
      <c r="D62" s="53" t="s">
        <v>5</v>
      </c>
      <c r="E62" s="73"/>
      <c r="F62" s="74"/>
      <c r="G62" s="16"/>
      <c r="H62" s="1"/>
      <c r="I62" s="1"/>
      <c r="J62" s="19"/>
    </row>
    <row r="63" spans="1:10" x14ac:dyDescent="0.25">
      <c r="A63" s="1">
        <f t="shared" si="0"/>
        <v>61</v>
      </c>
      <c r="B63" s="1" t="s">
        <v>73</v>
      </c>
      <c r="C63" s="4" t="s">
        <v>87</v>
      </c>
      <c r="D63" s="53" t="s">
        <v>5</v>
      </c>
      <c r="E63" s="73"/>
      <c r="F63" s="74"/>
      <c r="G63" s="16"/>
      <c r="H63" s="1"/>
      <c r="I63" s="1"/>
      <c r="J63" s="19"/>
    </row>
    <row r="64" spans="1:10" x14ac:dyDescent="0.25">
      <c r="A64" s="1">
        <f t="shared" si="0"/>
        <v>62</v>
      </c>
      <c r="B64" s="1" t="s">
        <v>74</v>
      </c>
      <c r="C64" s="4" t="s">
        <v>86</v>
      </c>
      <c r="D64" s="53" t="s">
        <v>5</v>
      </c>
      <c r="E64" s="73"/>
      <c r="F64" s="74"/>
      <c r="G64" s="16"/>
      <c r="H64" s="1"/>
      <c r="I64" s="1"/>
      <c r="J64" s="19"/>
    </row>
    <row r="65" spans="1:10" x14ac:dyDescent="0.25">
      <c r="A65" s="1">
        <f t="shared" si="0"/>
        <v>63</v>
      </c>
      <c r="B65" s="1" t="s">
        <v>84</v>
      </c>
      <c r="C65" s="4" t="s">
        <v>85</v>
      </c>
      <c r="D65" s="53" t="s">
        <v>5</v>
      </c>
      <c r="E65" s="73"/>
      <c r="F65" s="74"/>
      <c r="G65" s="16"/>
      <c r="H65" s="1"/>
      <c r="I65" s="1"/>
      <c r="J65" s="19"/>
    </row>
    <row r="66" spans="1:10" x14ac:dyDescent="0.25">
      <c r="A66" s="1">
        <f t="shared" si="0"/>
        <v>64</v>
      </c>
      <c r="B66" s="1" t="s">
        <v>75</v>
      </c>
      <c r="C66" s="4" t="s">
        <v>83</v>
      </c>
      <c r="D66" s="53" t="s">
        <v>5</v>
      </c>
      <c r="E66" s="73"/>
      <c r="F66" s="74"/>
      <c r="G66" s="16"/>
      <c r="H66" s="1"/>
      <c r="I66" s="1"/>
      <c r="J66" s="19"/>
    </row>
    <row r="67" spans="1:10" x14ac:dyDescent="0.25">
      <c r="A67" s="1">
        <f t="shared" si="0"/>
        <v>65</v>
      </c>
      <c r="B67" s="1" t="s">
        <v>76</v>
      </c>
      <c r="C67" s="4" t="s">
        <v>82</v>
      </c>
      <c r="D67" s="53" t="s">
        <v>5</v>
      </c>
      <c r="E67" s="73"/>
      <c r="F67" s="74"/>
      <c r="G67" s="16"/>
      <c r="H67" s="1"/>
      <c r="I67" s="1"/>
      <c r="J67" s="19"/>
    </row>
    <row r="68" spans="1:10" x14ac:dyDescent="0.25">
      <c r="A68" s="1">
        <f t="shared" si="0"/>
        <v>66</v>
      </c>
      <c r="B68" s="1" t="s">
        <v>77</v>
      </c>
      <c r="C68" s="4" t="s">
        <v>6</v>
      </c>
      <c r="D68" s="53" t="s">
        <v>5</v>
      </c>
      <c r="E68" s="73"/>
      <c r="F68" s="74"/>
      <c r="G68" s="16"/>
      <c r="H68" s="1"/>
      <c r="I68" s="1"/>
      <c r="J68" s="19"/>
    </row>
    <row r="69" spans="1:10" x14ac:dyDescent="0.25">
      <c r="A69" s="1">
        <f>A68+1</f>
        <v>67</v>
      </c>
      <c r="B69" s="1" t="s">
        <v>78</v>
      </c>
      <c r="C69" s="4" t="s">
        <v>79</v>
      </c>
      <c r="D69" s="53" t="s">
        <v>5</v>
      </c>
      <c r="E69" s="73"/>
      <c r="F69" s="74"/>
      <c r="G69" s="16"/>
      <c r="H69" s="1"/>
      <c r="I69" s="1"/>
      <c r="J69" s="19"/>
    </row>
    <row r="70" spans="1:10" x14ac:dyDescent="0.25">
      <c r="A70" s="1">
        <f>A69+1</f>
        <v>68</v>
      </c>
      <c r="B70" s="1" t="s">
        <v>80</v>
      </c>
      <c r="C70" s="4" t="s">
        <v>81</v>
      </c>
      <c r="D70" s="53" t="s">
        <v>5</v>
      </c>
      <c r="E70" s="73"/>
      <c r="F70" s="74"/>
      <c r="G70" s="16"/>
      <c r="H70" s="1"/>
      <c r="I70" s="1"/>
      <c r="J70" s="19"/>
    </row>
    <row r="71" spans="1:10" x14ac:dyDescent="0.25">
      <c r="A71" s="1">
        <f>A204+1</f>
        <v>70</v>
      </c>
      <c r="B71" s="1"/>
      <c r="C71" s="4"/>
      <c r="D71" s="53" t="s">
        <v>5</v>
      </c>
      <c r="E71" s="73"/>
      <c r="F71" s="74"/>
      <c r="G71" s="16"/>
      <c r="H71" s="1"/>
      <c r="I71" s="1"/>
      <c r="J71" s="19"/>
    </row>
    <row r="72" spans="1:10" ht="15.75" thickBot="1" x14ac:dyDescent="0.3">
      <c r="A72" s="13">
        <f>A71+1</f>
        <v>71</v>
      </c>
      <c r="B72" s="8"/>
      <c r="C72" s="2"/>
      <c r="D72" s="55" t="s">
        <v>5</v>
      </c>
      <c r="E72" s="73"/>
      <c r="F72" s="75"/>
      <c r="G72" s="61"/>
      <c r="H72" s="13"/>
      <c r="I72" s="13"/>
      <c r="J72" s="24"/>
    </row>
    <row r="73" spans="1:10" ht="15.75" thickBot="1" x14ac:dyDescent="0.3">
      <c r="A73" s="64" t="s">
        <v>3</v>
      </c>
      <c r="B73" s="63" t="s">
        <v>0</v>
      </c>
      <c r="C73" s="65" t="s">
        <v>1</v>
      </c>
      <c r="D73" s="14" t="s">
        <v>2</v>
      </c>
      <c r="E73" s="76"/>
      <c r="F73" s="77"/>
      <c r="G73" s="11"/>
      <c r="H73" s="66"/>
      <c r="I73" s="66"/>
      <c r="J73" s="67"/>
    </row>
    <row r="74" spans="1:10" x14ac:dyDescent="0.25">
      <c r="A74" s="3">
        <v>1</v>
      </c>
      <c r="B74" s="56" t="s">
        <v>102</v>
      </c>
      <c r="C74" s="57" t="s">
        <v>103</v>
      </c>
      <c r="D74" s="54" t="s">
        <v>334</v>
      </c>
      <c r="E74" s="73"/>
      <c r="F74" s="78"/>
      <c r="G74" s="62"/>
      <c r="H74" s="3"/>
      <c r="I74" s="3"/>
      <c r="J74" s="23"/>
    </row>
    <row r="75" spans="1:10" x14ac:dyDescent="0.25">
      <c r="A75" s="1">
        <f t="shared" ref="A75:A138" si="1">A74+1</f>
        <v>2</v>
      </c>
      <c r="B75" s="31" t="s">
        <v>104</v>
      </c>
      <c r="C75" s="58"/>
      <c r="D75" s="53" t="s">
        <v>334</v>
      </c>
      <c r="E75" s="73"/>
      <c r="F75" s="74"/>
      <c r="G75" s="16"/>
      <c r="H75" s="1"/>
      <c r="I75" s="1"/>
      <c r="J75" s="19"/>
    </row>
    <row r="76" spans="1:10" x14ac:dyDescent="0.25">
      <c r="A76" s="1">
        <f t="shared" si="1"/>
        <v>3</v>
      </c>
      <c r="B76" s="31" t="s">
        <v>105</v>
      </c>
      <c r="C76" s="58" t="s">
        <v>106</v>
      </c>
      <c r="D76" s="53" t="s">
        <v>335</v>
      </c>
      <c r="E76" s="73"/>
      <c r="F76" s="74"/>
      <c r="G76" s="16"/>
      <c r="H76" s="1"/>
      <c r="I76" s="1"/>
      <c r="J76" s="19"/>
    </row>
    <row r="77" spans="1:10" x14ac:dyDescent="0.25">
      <c r="A77" s="1">
        <f t="shared" si="1"/>
        <v>4</v>
      </c>
      <c r="B77" s="31" t="s">
        <v>107</v>
      </c>
      <c r="C77" s="58"/>
      <c r="D77" s="53" t="s">
        <v>335</v>
      </c>
      <c r="E77" s="73"/>
      <c r="F77" s="74"/>
      <c r="G77" s="16"/>
      <c r="H77" s="1"/>
      <c r="I77" s="1"/>
      <c r="J77" s="19"/>
    </row>
    <row r="78" spans="1:10" x14ac:dyDescent="0.25">
      <c r="A78" s="1">
        <f t="shared" si="1"/>
        <v>5</v>
      </c>
      <c r="B78" s="31" t="s">
        <v>108</v>
      </c>
      <c r="C78" s="58" t="s">
        <v>111</v>
      </c>
      <c r="D78" s="53" t="s">
        <v>334</v>
      </c>
      <c r="E78" s="73"/>
      <c r="F78" s="74"/>
      <c r="G78" s="16"/>
      <c r="H78" s="1"/>
      <c r="I78" s="1"/>
      <c r="J78" s="19"/>
    </row>
    <row r="79" spans="1:10" x14ac:dyDescent="0.25">
      <c r="A79" s="1">
        <f t="shared" si="1"/>
        <v>6</v>
      </c>
      <c r="B79" s="31" t="s">
        <v>109</v>
      </c>
      <c r="C79" s="58" t="s">
        <v>110</v>
      </c>
      <c r="D79" s="53" t="s">
        <v>334</v>
      </c>
      <c r="E79" s="73"/>
      <c r="F79" s="74"/>
      <c r="G79" s="16"/>
      <c r="H79" s="1"/>
      <c r="I79" s="1"/>
      <c r="J79" s="19"/>
    </row>
    <row r="80" spans="1:10" x14ac:dyDescent="0.25">
      <c r="A80" s="1">
        <f t="shared" si="1"/>
        <v>7</v>
      </c>
      <c r="B80" s="31" t="s">
        <v>112</v>
      </c>
      <c r="C80" s="58" t="s">
        <v>113</v>
      </c>
      <c r="D80" s="53" t="s">
        <v>335</v>
      </c>
      <c r="E80" s="73"/>
      <c r="F80" s="74"/>
      <c r="G80" s="16"/>
      <c r="H80" s="1"/>
      <c r="I80" s="1"/>
      <c r="J80" s="19"/>
    </row>
    <row r="81" spans="1:10" x14ac:dyDescent="0.25">
      <c r="A81" s="1">
        <f t="shared" si="1"/>
        <v>8</v>
      </c>
      <c r="B81" s="31" t="s">
        <v>114</v>
      </c>
      <c r="C81" s="58" t="s">
        <v>115</v>
      </c>
      <c r="D81" s="53" t="s">
        <v>335</v>
      </c>
      <c r="E81" s="73"/>
      <c r="F81" s="74"/>
      <c r="G81" s="16"/>
      <c r="H81" s="1"/>
      <c r="I81" s="1"/>
      <c r="J81" s="19"/>
    </row>
    <row r="82" spans="1:10" x14ac:dyDescent="0.25">
      <c r="A82" s="1">
        <f t="shared" si="1"/>
        <v>9</v>
      </c>
      <c r="B82" s="31" t="s">
        <v>116</v>
      </c>
      <c r="C82" s="58" t="s">
        <v>106</v>
      </c>
      <c r="D82" s="53" t="s">
        <v>334</v>
      </c>
      <c r="E82" s="73"/>
      <c r="F82" s="74"/>
      <c r="G82" s="16"/>
      <c r="H82" s="1"/>
      <c r="I82" s="1"/>
      <c r="J82" s="19"/>
    </row>
    <row r="83" spans="1:10" x14ac:dyDescent="0.25">
      <c r="A83" s="1">
        <f t="shared" si="1"/>
        <v>10</v>
      </c>
      <c r="B83" s="31" t="s">
        <v>117</v>
      </c>
      <c r="C83" s="58" t="s">
        <v>118</v>
      </c>
      <c r="D83" s="53" t="s">
        <v>335</v>
      </c>
      <c r="E83" s="73"/>
      <c r="F83" s="74"/>
      <c r="G83" s="16"/>
      <c r="H83" s="1"/>
      <c r="I83" s="1"/>
      <c r="J83" s="19"/>
    </row>
    <row r="84" spans="1:10" x14ac:dyDescent="0.25">
      <c r="A84" s="1">
        <f t="shared" si="1"/>
        <v>11</v>
      </c>
      <c r="B84" s="31" t="s">
        <v>119</v>
      </c>
      <c r="C84" s="58" t="s">
        <v>120</v>
      </c>
      <c r="D84" s="53" t="s">
        <v>335</v>
      </c>
      <c r="E84" s="73"/>
      <c r="F84" s="74"/>
      <c r="G84" s="16"/>
      <c r="H84" s="1"/>
      <c r="I84" s="1"/>
      <c r="J84" s="19"/>
    </row>
    <row r="85" spans="1:10" x14ac:dyDescent="0.25">
      <c r="A85" s="1">
        <f t="shared" si="1"/>
        <v>12</v>
      </c>
      <c r="B85" s="31" t="s">
        <v>121</v>
      </c>
      <c r="C85" s="58" t="s">
        <v>122</v>
      </c>
      <c r="D85" s="53" t="s">
        <v>335</v>
      </c>
      <c r="E85" s="73"/>
      <c r="F85" s="74"/>
      <c r="G85" s="16"/>
      <c r="H85" s="1"/>
      <c r="I85" s="1"/>
      <c r="J85" s="19"/>
    </row>
    <row r="86" spans="1:10" x14ac:dyDescent="0.25">
      <c r="A86" s="1">
        <f t="shared" si="1"/>
        <v>13</v>
      </c>
      <c r="B86" s="31" t="s">
        <v>123</v>
      </c>
      <c r="C86" s="58" t="s">
        <v>124</v>
      </c>
      <c r="D86" s="53" t="s">
        <v>335</v>
      </c>
      <c r="E86" s="73"/>
      <c r="F86" s="74"/>
      <c r="G86" s="16"/>
      <c r="H86" s="1"/>
      <c r="I86" s="1"/>
      <c r="J86" s="19"/>
    </row>
    <row r="87" spans="1:10" x14ac:dyDescent="0.25">
      <c r="A87" s="1">
        <f t="shared" si="1"/>
        <v>14</v>
      </c>
      <c r="B87" s="31" t="s">
        <v>125</v>
      </c>
      <c r="C87" s="58" t="s">
        <v>126</v>
      </c>
      <c r="D87" s="53" t="s">
        <v>335</v>
      </c>
      <c r="E87" s="73"/>
      <c r="F87" s="74"/>
      <c r="G87" s="16"/>
      <c r="H87" s="1"/>
      <c r="I87" s="1"/>
      <c r="J87" s="19"/>
    </row>
    <row r="88" spans="1:10" x14ac:dyDescent="0.25">
      <c r="A88" s="1">
        <f t="shared" si="1"/>
        <v>15</v>
      </c>
      <c r="B88" s="31" t="s">
        <v>127</v>
      </c>
      <c r="C88" s="58" t="s">
        <v>128</v>
      </c>
      <c r="D88" s="53" t="s">
        <v>335</v>
      </c>
      <c r="E88" s="73"/>
      <c r="F88" s="74"/>
      <c r="G88" s="16"/>
      <c r="H88" s="1"/>
      <c r="I88" s="1"/>
      <c r="J88" s="19"/>
    </row>
    <row r="89" spans="1:10" x14ac:dyDescent="0.25">
      <c r="A89" s="1">
        <f t="shared" si="1"/>
        <v>16</v>
      </c>
      <c r="B89" s="31" t="s">
        <v>129</v>
      </c>
      <c r="C89" s="58" t="s">
        <v>130</v>
      </c>
      <c r="D89" s="53" t="s">
        <v>335</v>
      </c>
      <c r="E89" s="73"/>
      <c r="F89" s="74"/>
      <c r="G89" s="16"/>
      <c r="H89" s="1"/>
      <c r="I89" s="1"/>
      <c r="J89" s="19"/>
    </row>
    <row r="90" spans="1:10" x14ac:dyDescent="0.25">
      <c r="A90" s="1">
        <f t="shared" si="1"/>
        <v>17</v>
      </c>
      <c r="B90" s="31" t="s">
        <v>131</v>
      </c>
      <c r="C90" s="58" t="s">
        <v>132</v>
      </c>
      <c r="D90" s="53" t="s">
        <v>335</v>
      </c>
      <c r="E90" s="73"/>
      <c r="F90" s="74"/>
      <c r="G90" s="16"/>
      <c r="H90" s="1"/>
      <c r="I90" s="1"/>
      <c r="J90" s="19"/>
    </row>
    <row r="91" spans="1:10" x14ac:dyDescent="0.25">
      <c r="A91" s="1">
        <f t="shared" si="1"/>
        <v>18</v>
      </c>
      <c r="B91" s="31" t="s">
        <v>133</v>
      </c>
      <c r="C91" s="58" t="s">
        <v>134</v>
      </c>
      <c r="D91" s="53" t="s">
        <v>335</v>
      </c>
      <c r="E91" s="73"/>
      <c r="F91" s="74"/>
      <c r="G91" s="16"/>
      <c r="H91" s="1"/>
      <c r="I91" s="1"/>
      <c r="J91" s="19"/>
    </row>
    <row r="92" spans="1:10" x14ac:dyDescent="0.25">
      <c r="A92" s="1">
        <f t="shared" si="1"/>
        <v>19</v>
      </c>
      <c r="B92" s="31" t="s">
        <v>135</v>
      </c>
      <c r="C92" s="58" t="s">
        <v>136</v>
      </c>
      <c r="D92" s="53" t="s">
        <v>335</v>
      </c>
      <c r="E92" s="73"/>
      <c r="F92" s="74"/>
      <c r="G92" s="16"/>
      <c r="H92" s="1"/>
      <c r="I92" s="1"/>
      <c r="J92" s="19"/>
    </row>
    <row r="93" spans="1:10" x14ac:dyDescent="0.25">
      <c r="A93" s="1">
        <f t="shared" si="1"/>
        <v>20</v>
      </c>
      <c r="B93" s="31" t="s">
        <v>137</v>
      </c>
      <c r="C93" s="58" t="s">
        <v>138</v>
      </c>
      <c r="D93" s="53" t="s">
        <v>335</v>
      </c>
      <c r="E93" s="73"/>
      <c r="F93" s="74"/>
      <c r="G93" s="16"/>
      <c r="H93" s="1"/>
      <c r="I93" s="1"/>
      <c r="J93" s="19"/>
    </row>
    <row r="94" spans="1:10" x14ac:dyDescent="0.25">
      <c r="A94" s="1">
        <f t="shared" si="1"/>
        <v>21</v>
      </c>
      <c r="B94" s="31" t="s">
        <v>139</v>
      </c>
      <c r="C94" s="58" t="s">
        <v>140</v>
      </c>
      <c r="D94" s="53" t="s">
        <v>335</v>
      </c>
      <c r="E94" s="73"/>
      <c r="F94" s="74"/>
      <c r="G94" s="16"/>
      <c r="H94" s="1"/>
      <c r="I94" s="1"/>
      <c r="J94" s="19"/>
    </row>
    <row r="95" spans="1:10" x14ac:dyDescent="0.25">
      <c r="A95" s="1">
        <f t="shared" si="1"/>
        <v>22</v>
      </c>
      <c r="B95" s="31" t="s">
        <v>141</v>
      </c>
      <c r="C95" s="58" t="s">
        <v>142</v>
      </c>
      <c r="D95" s="53" t="s">
        <v>335</v>
      </c>
      <c r="E95" s="73"/>
      <c r="F95" s="74"/>
      <c r="G95" s="16"/>
      <c r="H95" s="1"/>
      <c r="I95" s="1"/>
      <c r="J95" s="19"/>
    </row>
    <row r="96" spans="1:10" x14ac:dyDescent="0.25">
      <c r="A96" s="1">
        <f t="shared" si="1"/>
        <v>23</v>
      </c>
      <c r="B96" s="31" t="s">
        <v>143</v>
      </c>
      <c r="C96" s="58" t="s">
        <v>144</v>
      </c>
      <c r="D96" s="53" t="s">
        <v>335</v>
      </c>
      <c r="E96" s="73"/>
      <c r="F96" s="74"/>
      <c r="G96" s="16"/>
      <c r="H96" s="1"/>
      <c r="I96" s="1"/>
      <c r="J96" s="19"/>
    </row>
    <row r="97" spans="1:10" x14ac:dyDescent="0.25">
      <c r="A97" s="1">
        <f t="shared" si="1"/>
        <v>24</v>
      </c>
      <c r="B97" s="31" t="s">
        <v>145</v>
      </c>
      <c r="C97" s="58" t="s">
        <v>146</v>
      </c>
      <c r="D97" s="53" t="s">
        <v>335</v>
      </c>
      <c r="E97" s="73"/>
      <c r="F97" s="74"/>
      <c r="G97" s="16"/>
      <c r="H97" s="1"/>
      <c r="I97" s="1"/>
      <c r="J97" s="19"/>
    </row>
    <row r="98" spans="1:10" x14ac:dyDescent="0.25">
      <c r="A98" s="1">
        <f t="shared" si="1"/>
        <v>25</v>
      </c>
      <c r="B98" s="31" t="s">
        <v>147</v>
      </c>
      <c r="C98" s="58" t="s">
        <v>148</v>
      </c>
      <c r="D98" s="53" t="s">
        <v>335</v>
      </c>
      <c r="E98" s="73"/>
      <c r="F98" s="74"/>
      <c r="G98" s="16"/>
      <c r="H98" s="1"/>
      <c r="I98" s="1"/>
      <c r="J98" s="19"/>
    </row>
    <row r="99" spans="1:10" x14ac:dyDescent="0.25">
      <c r="A99" s="1">
        <f t="shared" si="1"/>
        <v>26</v>
      </c>
      <c r="B99" s="31" t="s">
        <v>149</v>
      </c>
      <c r="C99" s="58" t="s">
        <v>150</v>
      </c>
      <c r="D99" s="53" t="s">
        <v>335</v>
      </c>
      <c r="E99" s="73"/>
      <c r="F99" s="74"/>
      <c r="G99" s="16"/>
      <c r="H99" s="1"/>
      <c r="I99" s="1"/>
      <c r="J99" s="19"/>
    </row>
    <row r="100" spans="1:10" x14ac:dyDescent="0.25">
      <c r="A100" s="1">
        <f t="shared" si="1"/>
        <v>27</v>
      </c>
      <c r="B100" s="31" t="s">
        <v>151</v>
      </c>
      <c r="C100" s="58" t="s">
        <v>152</v>
      </c>
      <c r="D100" s="53" t="s">
        <v>335</v>
      </c>
      <c r="E100" s="73"/>
      <c r="F100" s="74"/>
      <c r="G100" s="16"/>
      <c r="H100" s="1"/>
      <c r="I100" s="1"/>
      <c r="J100" s="19"/>
    </row>
    <row r="101" spans="1:10" x14ac:dyDescent="0.25">
      <c r="A101" s="1">
        <f t="shared" si="1"/>
        <v>28</v>
      </c>
      <c r="B101" s="31" t="s">
        <v>153</v>
      </c>
      <c r="C101" s="58" t="s">
        <v>154</v>
      </c>
      <c r="D101" s="53" t="s">
        <v>335</v>
      </c>
      <c r="E101" s="73"/>
      <c r="F101" s="74"/>
      <c r="G101" s="16"/>
      <c r="H101" s="1"/>
      <c r="I101" s="1"/>
      <c r="J101" s="19"/>
    </row>
    <row r="102" spans="1:10" x14ac:dyDescent="0.25">
      <c r="A102" s="1">
        <f t="shared" si="1"/>
        <v>29</v>
      </c>
      <c r="B102" s="31" t="s">
        <v>155</v>
      </c>
      <c r="C102" s="58" t="s">
        <v>156</v>
      </c>
      <c r="D102" s="53" t="s">
        <v>335</v>
      </c>
      <c r="E102" s="73"/>
      <c r="F102" s="74"/>
      <c r="G102" s="16"/>
      <c r="H102" s="1"/>
      <c r="I102" s="1"/>
      <c r="J102" s="19"/>
    </row>
    <row r="103" spans="1:10" x14ac:dyDescent="0.25">
      <c r="A103" s="1">
        <f t="shared" si="1"/>
        <v>30</v>
      </c>
      <c r="B103" s="31" t="s">
        <v>157</v>
      </c>
      <c r="C103" s="58" t="s">
        <v>158</v>
      </c>
      <c r="D103" s="53" t="s">
        <v>335</v>
      </c>
      <c r="E103" s="73"/>
      <c r="F103" s="74"/>
      <c r="G103" s="16"/>
      <c r="H103" s="1"/>
      <c r="I103" s="1"/>
      <c r="J103" s="19"/>
    </row>
    <row r="104" spans="1:10" x14ac:dyDescent="0.25">
      <c r="A104" s="1">
        <f t="shared" si="1"/>
        <v>31</v>
      </c>
      <c r="B104" s="31" t="s">
        <v>159</v>
      </c>
      <c r="C104" s="58" t="s">
        <v>160</v>
      </c>
      <c r="D104" s="53" t="s">
        <v>335</v>
      </c>
      <c r="E104" s="73"/>
      <c r="F104" s="74"/>
      <c r="G104" s="16"/>
      <c r="H104" s="1"/>
      <c r="I104" s="1"/>
      <c r="J104" s="19"/>
    </row>
    <row r="105" spans="1:10" x14ac:dyDescent="0.25">
      <c r="A105" s="1">
        <f t="shared" si="1"/>
        <v>32</v>
      </c>
      <c r="B105" s="56" t="s">
        <v>161</v>
      </c>
      <c r="C105" s="57" t="s">
        <v>162</v>
      </c>
      <c r="D105" s="53" t="s">
        <v>335</v>
      </c>
      <c r="E105" s="73"/>
      <c r="F105" s="74"/>
      <c r="G105" s="16"/>
      <c r="H105" s="1"/>
      <c r="I105" s="1"/>
      <c r="J105" s="19"/>
    </row>
    <row r="106" spans="1:10" x14ac:dyDescent="0.25">
      <c r="A106" s="1">
        <f t="shared" si="1"/>
        <v>33</v>
      </c>
      <c r="B106" s="31" t="s">
        <v>163</v>
      </c>
      <c r="C106" s="58" t="s">
        <v>164</v>
      </c>
      <c r="D106" s="53" t="s">
        <v>335</v>
      </c>
      <c r="E106" s="73"/>
      <c r="F106" s="74"/>
      <c r="G106" s="16"/>
      <c r="H106" s="1"/>
      <c r="I106" s="1"/>
      <c r="J106" s="19"/>
    </row>
    <row r="107" spans="1:10" x14ac:dyDescent="0.25">
      <c r="A107" s="1">
        <f t="shared" si="1"/>
        <v>34</v>
      </c>
      <c r="B107" s="31" t="s">
        <v>165</v>
      </c>
      <c r="C107" s="58" t="s">
        <v>166</v>
      </c>
      <c r="D107" s="53" t="s">
        <v>335</v>
      </c>
      <c r="E107" s="73"/>
      <c r="F107" s="74"/>
      <c r="G107" s="16"/>
      <c r="H107" s="1"/>
      <c r="I107" s="1"/>
      <c r="J107" s="19"/>
    </row>
    <row r="108" spans="1:10" x14ac:dyDescent="0.25">
      <c r="A108" s="1">
        <f t="shared" si="1"/>
        <v>35</v>
      </c>
      <c r="B108" s="31" t="s">
        <v>167</v>
      </c>
      <c r="C108" s="58" t="s">
        <v>168</v>
      </c>
      <c r="D108" s="53" t="s">
        <v>335</v>
      </c>
      <c r="E108" s="73"/>
      <c r="F108" s="74"/>
      <c r="G108" s="16"/>
      <c r="H108" s="1"/>
      <c r="I108" s="1"/>
      <c r="J108" s="19"/>
    </row>
    <row r="109" spans="1:10" x14ac:dyDescent="0.25">
      <c r="A109" s="1">
        <f t="shared" si="1"/>
        <v>36</v>
      </c>
      <c r="B109" s="31" t="s">
        <v>169</v>
      </c>
      <c r="C109" s="58" t="s">
        <v>170</v>
      </c>
      <c r="D109" s="53" t="s">
        <v>335</v>
      </c>
      <c r="E109" s="73"/>
      <c r="F109" s="74"/>
      <c r="G109" s="16"/>
      <c r="H109" s="1"/>
      <c r="I109" s="1"/>
      <c r="J109" s="19"/>
    </row>
    <row r="110" spans="1:10" x14ac:dyDescent="0.25">
      <c r="A110" s="1">
        <f t="shared" si="1"/>
        <v>37</v>
      </c>
      <c r="B110" s="31" t="s">
        <v>171</v>
      </c>
      <c r="C110" s="58" t="s">
        <v>172</v>
      </c>
      <c r="D110" s="53" t="s">
        <v>335</v>
      </c>
      <c r="E110" s="73"/>
      <c r="F110" s="74"/>
      <c r="G110" s="16"/>
      <c r="H110" s="1"/>
      <c r="I110" s="1"/>
      <c r="J110" s="19"/>
    </row>
    <row r="111" spans="1:10" x14ac:dyDescent="0.25">
      <c r="A111" s="1">
        <f t="shared" si="1"/>
        <v>38</v>
      </c>
      <c r="B111" s="31" t="s">
        <v>173</v>
      </c>
      <c r="C111" s="58" t="s">
        <v>174</v>
      </c>
      <c r="D111" s="53" t="s">
        <v>335</v>
      </c>
      <c r="E111" s="73"/>
      <c r="F111" s="74"/>
      <c r="G111" s="16"/>
      <c r="H111" s="1"/>
      <c r="I111" s="1"/>
      <c r="J111" s="19"/>
    </row>
    <row r="112" spans="1:10" x14ac:dyDescent="0.25">
      <c r="A112" s="1">
        <f t="shared" si="1"/>
        <v>39</v>
      </c>
      <c r="B112" s="31" t="s">
        <v>175</v>
      </c>
      <c r="C112" s="58" t="s">
        <v>176</v>
      </c>
      <c r="D112" s="53" t="s">
        <v>335</v>
      </c>
      <c r="E112" s="73"/>
      <c r="F112" s="74"/>
      <c r="G112" s="16"/>
      <c r="H112" s="1"/>
      <c r="I112" s="1"/>
      <c r="J112" s="19"/>
    </row>
    <row r="113" spans="1:10" x14ac:dyDescent="0.25">
      <c r="A113" s="1">
        <f t="shared" si="1"/>
        <v>40</v>
      </c>
      <c r="B113" s="31" t="s">
        <v>177</v>
      </c>
      <c r="C113" s="58" t="s">
        <v>178</v>
      </c>
      <c r="D113" s="53" t="s">
        <v>335</v>
      </c>
      <c r="E113" s="73"/>
      <c r="F113" s="74"/>
      <c r="G113" s="16"/>
      <c r="H113" s="1"/>
      <c r="I113" s="1"/>
      <c r="J113" s="19"/>
    </row>
    <row r="114" spans="1:10" x14ac:dyDescent="0.25">
      <c r="A114" s="1">
        <f t="shared" si="1"/>
        <v>41</v>
      </c>
      <c r="B114" s="31" t="s">
        <v>179</v>
      </c>
      <c r="C114" s="58" t="s">
        <v>180</v>
      </c>
      <c r="D114" s="53" t="s">
        <v>335</v>
      </c>
      <c r="E114" s="73"/>
      <c r="F114" s="74"/>
      <c r="G114" s="16"/>
      <c r="H114" s="1"/>
      <c r="I114" s="1"/>
      <c r="J114" s="19"/>
    </row>
    <row r="115" spans="1:10" x14ac:dyDescent="0.25">
      <c r="A115" s="1">
        <f t="shared" si="1"/>
        <v>42</v>
      </c>
      <c r="B115" s="31" t="s">
        <v>181</v>
      </c>
      <c r="C115" s="58" t="s">
        <v>182</v>
      </c>
      <c r="D115" s="53" t="s">
        <v>335</v>
      </c>
      <c r="E115" s="73"/>
      <c r="F115" s="74"/>
      <c r="G115" s="16"/>
      <c r="H115" s="1"/>
      <c r="I115" s="1"/>
      <c r="J115" s="19"/>
    </row>
    <row r="116" spans="1:10" x14ac:dyDescent="0.25">
      <c r="A116" s="1">
        <f t="shared" si="1"/>
        <v>43</v>
      </c>
      <c r="B116" s="31" t="s">
        <v>183</v>
      </c>
      <c r="C116" s="58" t="s">
        <v>184</v>
      </c>
      <c r="D116" s="53" t="s">
        <v>335</v>
      </c>
      <c r="E116" s="73"/>
      <c r="F116" s="74"/>
      <c r="G116" s="16"/>
      <c r="H116" s="1"/>
      <c r="I116" s="1"/>
      <c r="J116" s="19"/>
    </row>
    <row r="117" spans="1:10" x14ac:dyDescent="0.25">
      <c r="A117" s="1">
        <f t="shared" si="1"/>
        <v>44</v>
      </c>
      <c r="B117" s="31" t="s">
        <v>185</v>
      </c>
      <c r="C117" s="58" t="s">
        <v>186</v>
      </c>
      <c r="D117" s="53" t="s">
        <v>335</v>
      </c>
      <c r="E117" s="73"/>
      <c r="F117" s="74"/>
      <c r="G117" s="16"/>
      <c r="H117" s="1"/>
      <c r="I117" s="1"/>
      <c r="J117" s="19"/>
    </row>
    <row r="118" spans="1:10" x14ac:dyDescent="0.25">
      <c r="A118" s="1">
        <f t="shared" si="1"/>
        <v>45</v>
      </c>
      <c r="B118" s="31" t="s">
        <v>187</v>
      </c>
      <c r="C118" s="58" t="s">
        <v>188</v>
      </c>
      <c r="D118" s="53" t="s">
        <v>335</v>
      </c>
      <c r="E118" s="73"/>
      <c r="F118" s="74"/>
      <c r="G118" s="16"/>
      <c r="H118" s="1"/>
      <c r="I118" s="1"/>
      <c r="J118" s="19"/>
    </row>
    <row r="119" spans="1:10" x14ac:dyDescent="0.25">
      <c r="A119" s="1">
        <f t="shared" si="1"/>
        <v>46</v>
      </c>
      <c r="B119" s="31" t="s">
        <v>189</v>
      </c>
      <c r="C119" s="58" t="s">
        <v>190</v>
      </c>
      <c r="D119" s="53" t="s">
        <v>335</v>
      </c>
      <c r="E119" s="73"/>
      <c r="F119" s="74"/>
      <c r="G119" s="16"/>
      <c r="H119" s="1"/>
      <c r="I119" s="1"/>
      <c r="J119" s="19"/>
    </row>
    <row r="120" spans="1:10" x14ac:dyDescent="0.25">
      <c r="A120" s="1">
        <f t="shared" si="1"/>
        <v>47</v>
      </c>
      <c r="B120" s="31" t="s">
        <v>191</v>
      </c>
      <c r="C120" s="58" t="s">
        <v>192</v>
      </c>
      <c r="D120" s="53" t="s">
        <v>335</v>
      </c>
      <c r="E120" s="73"/>
      <c r="F120" s="74"/>
      <c r="G120" s="16"/>
      <c r="H120" s="1"/>
      <c r="I120" s="1"/>
      <c r="J120" s="19"/>
    </row>
    <row r="121" spans="1:10" x14ac:dyDescent="0.25">
      <c r="A121" s="1">
        <f t="shared" si="1"/>
        <v>48</v>
      </c>
      <c r="B121" s="31" t="s">
        <v>193</v>
      </c>
      <c r="C121" s="58" t="s">
        <v>194</v>
      </c>
      <c r="D121" s="53" t="s">
        <v>335</v>
      </c>
      <c r="E121" s="73"/>
      <c r="F121" s="74"/>
      <c r="G121" s="16"/>
      <c r="H121" s="1"/>
      <c r="I121" s="1"/>
      <c r="J121" s="19"/>
    </row>
    <row r="122" spans="1:10" x14ac:dyDescent="0.25">
      <c r="A122" s="1">
        <f t="shared" si="1"/>
        <v>49</v>
      </c>
      <c r="B122" s="31" t="s">
        <v>195</v>
      </c>
      <c r="C122" s="58" t="s">
        <v>196</v>
      </c>
      <c r="D122" s="53" t="s">
        <v>335</v>
      </c>
      <c r="E122" s="73"/>
      <c r="F122" s="74"/>
      <c r="G122" s="16"/>
      <c r="H122" s="1"/>
      <c r="I122" s="1"/>
      <c r="J122" s="19"/>
    </row>
    <row r="123" spans="1:10" x14ac:dyDescent="0.25">
      <c r="A123" s="1">
        <f t="shared" si="1"/>
        <v>50</v>
      </c>
      <c r="B123" s="31" t="s">
        <v>197</v>
      </c>
      <c r="C123" s="58" t="s">
        <v>198</v>
      </c>
      <c r="D123" s="53" t="s">
        <v>335</v>
      </c>
      <c r="E123" s="73"/>
      <c r="F123" s="74"/>
      <c r="G123" s="16"/>
      <c r="H123" s="1"/>
      <c r="I123" s="1"/>
      <c r="J123" s="19"/>
    </row>
    <row r="124" spans="1:10" x14ac:dyDescent="0.25">
      <c r="A124" s="1">
        <f t="shared" si="1"/>
        <v>51</v>
      </c>
      <c r="B124" s="31" t="s">
        <v>199</v>
      </c>
      <c r="C124" s="58" t="s">
        <v>200</v>
      </c>
      <c r="D124" s="53" t="s">
        <v>335</v>
      </c>
      <c r="E124" s="73"/>
      <c r="F124" s="74"/>
      <c r="G124" s="16"/>
      <c r="H124" s="1"/>
      <c r="I124" s="1"/>
      <c r="J124" s="19"/>
    </row>
    <row r="125" spans="1:10" x14ac:dyDescent="0.25">
      <c r="A125" s="1">
        <f t="shared" si="1"/>
        <v>52</v>
      </c>
      <c r="B125" s="31" t="s">
        <v>201</v>
      </c>
      <c r="C125" s="58" t="s">
        <v>202</v>
      </c>
      <c r="D125" s="53" t="s">
        <v>335</v>
      </c>
      <c r="E125" s="73"/>
      <c r="F125" s="74"/>
      <c r="G125" s="16"/>
      <c r="H125" s="1"/>
      <c r="I125" s="1"/>
      <c r="J125" s="19"/>
    </row>
    <row r="126" spans="1:10" x14ac:dyDescent="0.25">
      <c r="A126" s="1">
        <f t="shared" si="1"/>
        <v>53</v>
      </c>
      <c r="B126" s="31" t="s">
        <v>203</v>
      </c>
      <c r="C126" s="58" t="s">
        <v>204</v>
      </c>
      <c r="D126" s="53" t="s">
        <v>335</v>
      </c>
      <c r="E126" s="73"/>
      <c r="F126" s="74"/>
      <c r="G126" s="16"/>
      <c r="H126" s="1"/>
      <c r="I126" s="1"/>
      <c r="J126" s="19"/>
    </row>
    <row r="127" spans="1:10" x14ac:dyDescent="0.25">
      <c r="A127" s="1">
        <f t="shared" si="1"/>
        <v>54</v>
      </c>
      <c r="B127" s="31" t="s">
        <v>205</v>
      </c>
      <c r="C127" s="58" t="s">
        <v>206</v>
      </c>
      <c r="D127" s="53" t="s">
        <v>335</v>
      </c>
      <c r="E127" s="73"/>
      <c r="F127" s="74"/>
      <c r="G127" s="16"/>
      <c r="H127" s="1"/>
      <c r="I127" s="1"/>
      <c r="J127" s="19"/>
    </row>
    <row r="128" spans="1:10" x14ac:dyDescent="0.25">
      <c r="A128" s="1">
        <f t="shared" si="1"/>
        <v>55</v>
      </c>
      <c r="B128" s="31" t="s">
        <v>207</v>
      </c>
      <c r="C128" s="58" t="s">
        <v>208</v>
      </c>
      <c r="D128" s="53" t="s">
        <v>335</v>
      </c>
      <c r="E128" s="73"/>
      <c r="F128" s="74"/>
      <c r="G128" s="16"/>
      <c r="H128" s="1"/>
      <c r="I128" s="1"/>
      <c r="J128" s="19"/>
    </row>
    <row r="129" spans="1:10" x14ac:dyDescent="0.25">
      <c r="A129" s="1">
        <f t="shared" si="1"/>
        <v>56</v>
      </c>
      <c r="B129" s="31" t="s">
        <v>209</v>
      </c>
      <c r="C129" s="58" t="s">
        <v>210</v>
      </c>
      <c r="D129" s="53" t="s">
        <v>335</v>
      </c>
      <c r="E129" s="73"/>
      <c r="F129" s="74"/>
      <c r="G129" s="16"/>
      <c r="H129" s="1"/>
      <c r="I129" s="1"/>
      <c r="J129" s="19"/>
    </row>
    <row r="130" spans="1:10" x14ac:dyDescent="0.25">
      <c r="A130" s="1">
        <f t="shared" si="1"/>
        <v>57</v>
      </c>
      <c r="B130" s="31" t="s">
        <v>211</v>
      </c>
      <c r="C130" s="58" t="s">
        <v>212</v>
      </c>
      <c r="D130" s="53" t="s">
        <v>335</v>
      </c>
      <c r="E130" s="73"/>
      <c r="F130" s="74"/>
      <c r="G130" s="16"/>
      <c r="H130" s="1"/>
      <c r="I130" s="1"/>
      <c r="J130" s="19"/>
    </row>
    <row r="131" spans="1:10" x14ac:dyDescent="0.25">
      <c r="A131" s="1">
        <f t="shared" si="1"/>
        <v>58</v>
      </c>
      <c r="B131" s="31" t="s">
        <v>218</v>
      </c>
      <c r="C131" s="58" t="s">
        <v>217</v>
      </c>
      <c r="D131" s="53" t="s">
        <v>335</v>
      </c>
      <c r="E131" s="73"/>
      <c r="F131" s="74"/>
      <c r="G131" s="16"/>
      <c r="H131" s="1"/>
      <c r="I131" s="1"/>
      <c r="J131" s="19"/>
    </row>
    <row r="132" spans="1:10" x14ac:dyDescent="0.25">
      <c r="A132" s="1">
        <f t="shared" si="1"/>
        <v>59</v>
      </c>
      <c r="B132" s="31" t="s">
        <v>213</v>
      </c>
      <c r="C132" s="58" t="s">
        <v>214</v>
      </c>
      <c r="D132" s="53" t="s">
        <v>335</v>
      </c>
      <c r="E132" s="73"/>
      <c r="F132" s="74"/>
      <c r="G132" s="16"/>
      <c r="H132" s="1"/>
      <c r="I132" s="1"/>
      <c r="J132" s="19"/>
    </row>
    <row r="133" spans="1:10" x14ac:dyDescent="0.25">
      <c r="A133" s="1">
        <f t="shared" si="1"/>
        <v>60</v>
      </c>
      <c r="B133" s="31" t="s">
        <v>215</v>
      </c>
      <c r="C133" s="58" t="s">
        <v>216</v>
      </c>
      <c r="D133" s="53" t="s">
        <v>335</v>
      </c>
      <c r="E133" s="73"/>
      <c r="F133" s="74"/>
      <c r="G133" s="16"/>
      <c r="H133" s="1"/>
      <c r="I133" s="1"/>
      <c r="J133" s="19"/>
    </row>
    <row r="134" spans="1:10" x14ac:dyDescent="0.25">
      <c r="A134" s="1">
        <f t="shared" si="1"/>
        <v>61</v>
      </c>
      <c r="B134" s="31" t="s">
        <v>219</v>
      </c>
      <c r="C134" s="58" t="s">
        <v>220</v>
      </c>
      <c r="D134" s="53" t="s">
        <v>335</v>
      </c>
      <c r="E134" s="73"/>
      <c r="F134" s="74"/>
      <c r="G134" s="16"/>
      <c r="H134" s="1"/>
      <c r="I134" s="1"/>
      <c r="J134" s="19"/>
    </row>
    <row r="135" spans="1:10" x14ac:dyDescent="0.25">
      <c r="A135" s="1">
        <f t="shared" si="1"/>
        <v>62</v>
      </c>
      <c r="B135" s="31" t="s">
        <v>221</v>
      </c>
      <c r="C135" s="58" t="s">
        <v>222</v>
      </c>
      <c r="D135" s="53" t="s">
        <v>335</v>
      </c>
      <c r="E135" s="73"/>
      <c r="F135" s="74"/>
      <c r="G135" s="16"/>
      <c r="H135" s="1"/>
      <c r="I135" s="1"/>
      <c r="J135" s="19"/>
    </row>
    <row r="136" spans="1:10" x14ac:dyDescent="0.25">
      <c r="A136" s="1">
        <f t="shared" si="1"/>
        <v>63</v>
      </c>
      <c r="B136" s="31" t="s">
        <v>223</v>
      </c>
      <c r="C136" s="58" t="s">
        <v>224</v>
      </c>
      <c r="D136" s="53" t="s">
        <v>335</v>
      </c>
      <c r="E136" s="73"/>
      <c r="F136" s="74"/>
      <c r="G136" s="16"/>
      <c r="H136" s="1"/>
      <c r="I136" s="1"/>
      <c r="J136" s="19"/>
    </row>
    <row r="137" spans="1:10" x14ac:dyDescent="0.25">
      <c r="A137" s="1">
        <f t="shared" si="1"/>
        <v>64</v>
      </c>
      <c r="B137" s="31" t="s">
        <v>225</v>
      </c>
      <c r="C137" s="58" t="s">
        <v>226</v>
      </c>
      <c r="D137" s="53" t="s">
        <v>335</v>
      </c>
      <c r="E137" s="73"/>
      <c r="F137" s="74"/>
      <c r="G137" s="16"/>
      <c r="H137" s="1"/>
      <c r="I137" s="1"/>
      <c r="J137" s="19"/>
    </row>
    <row r="138" spans="1:10" x14ac:dyDescent="0.25">
      <c r="A138" s="1">
        <f t="shared" si="1"/>
        <v>65</v>
      </c>
      <c r="B138" s="31" t="s">
        <v>227</v>
      </c>
      <c r="C138" s="58" t="s">
        <v>228</v>
      </c>
      <c r="D138" s="53" t="s">
        <v>335</v>
      </c>
      <c r="E138" s="73"/>
      <c r="F138" s="74"/>
      <c r="G138" s="16"/>
      <c r="H138" s="1"/>
      <c r="I138" s="1"/>
      <c r="J138" s="19"/>
    </row>
    <row r="139" spans="1:10" x14ac:dyDescent="0.25">
      <c r="A139" s="1">
        <f t="shared" ref="A139:A202" si="2">A138+1</f>
        <v>66</v>
      </c>
      <c r="B139" s="31" t="s">
        <v>229</v>
      </c>
      <c r="C139" s="58" t="s">
        <v>230</v>
      </c>
      <c r="D139" s="53" t="s">
        <v>335</v>
      </c>
      <c r="E139" s="73"/>
      <c r="F139" s="74"/>
      <c r="G139" s="16"/>
      <c r="H139" s="1"/>
      <c r="I139" s="1"/>
      <c r="J139" s="19"/>
    </row>
    <row r="140" spans="1:10" x14ac:dyDescent="0.25">
      <c r="A140" s="1">
        <f t="shared" si="2"/>
        <v>67</v>
      </c>
      <c r="B140" s="31" t="s">
        <v>231</v>
      </c>
      <c r="C140" s="58" t="s">
        <v>232</v>
      </c>
      <c r="D140" s="53" t="s">
        <v>335</v>
      </c>
      <c r="E140" s="73"/>
      <c r="F140" s="74"/>
      <c r="G140" s="16"/>
      <c r="H140" s="1"/>
      <c r="I140" s="1"/>
      <c r="J140" s="19"/>
    </row>
    <row r="141" spans="1:10" x14ac:dyDescent="0.25">
      <c r="A141" s="1">
        <f t="shared" si="2"/>
        <v>68</v>
      </c>
      <c r="B141" s="31" t="s">
        <v>233</v>
      </c>
      <c r="C141" s="58" t="s">
        <v>234</v>
      </c>
      <c r="D141" s="53" t="s">
        <v>335</v>
      </c>
      <c r="E141" s="73"/>
      <c r="F141" s="74"/>
      <c r="G141" s="16"/>
      <c r="H141" s="1"/>
      <c r="I141" s="1"/>
      <c r="J141" s="19"/>
    </row>
    <row r="142" spans="1:10" x14ac:dyDescent="0.25">
      <c r="A142" s="1">
        <f t="shared" si="2"/>
        <v>69</v>
      </c>
      <c r="B142" s="31" t="s">
        <v>235</v>
      </c>
      <c r="C142" s="58" t="s">
        <v>236</v>
      </c>
      <c r="D142" s="53" t="s">
        <v>335</v>
      </c>
      <c r="E142" s="73"/>
      <c r="F142" s="74"/>
      <c r="G142" s="16"/>
      <c r="H142" s="1"/>
      <c r="I142" s="1"/>
      <c r="J142" s="19"/>
    </row>
    <row r="143" spans="1:10" x14ac:dyDescent="0.25">
      <c r="A143" s="1">
        <f t="shared" si="2"/>
        <v>70</v>
      </c>
      <c r="B143" s="56" t="s">
        <v>237</v>
      </c>
      <c r="C143" s="57" t="s">
        <v>238</v>
      </c>
      <c r="D143" s="53" t="s">
        <v>335</v>
      </c>
      <c r="E143" s="73"/>
      <c r="F143" s="74"/>
      <c r="G143" s="16"/>
      <c r="H143" s="1"/>
      <c r="I143" s="1"/>
      <c r="J143" s="19"/>
    </row>
    <row r="144" spans="1:10" x14ac:dyDescent="0.25">
      <c r="A144" s="1">
        <f t="shared" si="2"/>
        <v>71</v>
      </c>
      <c r="B144" s="31" t="s">
        <v>239</v>
      </c>
      <c r="C144" s="58" t="s">
        <v>240</v>
      </c>
      <c r="D144" s="53" t="s">
        <v>335</v>
      </c>
      <c r="E144" s="73"/>
      <c r="F144" s="74"/>
      <c r="G144" s="16"/>
      <c r="H144" s="1"/>
      <c r="I144" s="1"/>
      <c r="J144" s="19"/>
    </row>
    <row r="145" spans="1:10" x14ac:dyDescent="0.25">
      <c r="A145" s="1">
        <f t="shared" si="2"/>
        <v>72</v>
      </c>
      <c r="B145" s="31" t="s">
        <v>241</v>
      </c>
      <c r="C145" s="58" t="s">
        <v>242</v>
      </c>
      <c r="D145" s="53" t="s">
        <v>335</v>
      </c>
      <c r="E145" s="73"/>
      <c r="F145" s="74"/>
      <c r="G145" s="16"/>
      <c r="H145" s="1"/>
      <c r="I145" s="1"/>
      <c r="J145" s="19"/>
    </row>
    <row r="146" spans="1:10" x14ac:dyDescent="0.25">
      <c r="A146" s="1">
        <f t="shared" si="2"/>
        <v>73</v>
      </c>
      <c r="B146" s="31" t="s">
        <v>243</v>
      </c>
      <c r="C146" s="58" t="s">
        <v>244</v>
      </c>
      <c r="D146" s="53" t="s">
        <v>335</v>
      </c>
      <c r="E146" s="73"/>
      <c r="F146" s="74"/>
      <c r="G146" s="16"/>
      <c r="H146" s="1"/>
      <c r="I146" s="1"/>
      <c r="J146" s="19"/>
    </row>
    <row r="147" spans="1:10" x14ac:dyDescent="0.25">
      <c r="A147" s="1">
        <f t="shared" si="2"/>
        <v>74</v>
      </c>
      <c r="B147" s="31" t="s">
        <v>245</v>
      </c>
      <c r="C147" s="58" t="s">
        <v>246</v>
      </c>
      <c r="D147" s="53" t="s">
        <v>335</v>
      </c>
      <c r="E147" s="73"/>
      <c r="F147" s="74"/>
      <c r="G147" s="16"/>
      <c r="H147" s="1"/>
      <c r="I147" s="1"/>
      <c r="J147" s="19"/>
    </row>
    <row r="148" spans="1:10" x14ac:dyDescent="0.25">
      <c r="A148" s="1">
        <f>A147+1</f>
        <v>75</v>
      </c>
      <c r="B148" s="31" t="s">
        <v>247</v>
      </c>
      <c r="C148" s="58" t="s">
        <v>248</v>
      </c>
      <c r="D148" s="53" t="s">
        <v>335</v>
      </c>
      <c r="E148" s="73"/>
      <c r="F148" s="74"/>
      <c r="G148" s="16"/>
      <c r="H148" s="1"/>
      <c r="I148" s="1"/>
      <c r="J148" s="19"/>
    </row>
    <row r="149" spans="1:10" x14ac:dyDescent="0.25">
      <c r="A149" s="1">
        <f t="shared" si="2"/>
        <v>76</v>
      </c>
      <c r="B149" s="31" t="s">
        <v>249</v>
      </c>
      <c r="C149" s="58"/>
      <c r="D149" s="53" t="s">
        <v>335</v>
      </c>
      <c r="E149" s="73"/>
      <c r="F149" s="74"/>
      <c r="G149" s="16"/>
      <c r="H149" s="1"/>
      <c r="I149" s="1"/>
      <c r="J149" s="19"/>
    </row>
    <row r="150" spans="1:10" x14ac:dyDescent="0.25">
      <c r="A150" s="1">
        <f t="shared" si="2"/>
        <v>77</v>
      </c>
      <c r="B150" s="31" t="s">
        <v>250</v>
      </c>
      <c r="C150" s="58"/>
      <c r="D150" s="53" t="s">
        <v>335</v>
      </c>
      <c r="E150" s="73"/>
      <c r="F150" s="74"/>
      <c r="G150" s="16"/>
      <c r="H150" s="1"/>
      <c r="I150" s="1"/>
      <c r="J150" s="19"/>
    </row>
    <row r="151" spans="1:10" x14ac:dyDescent="0.25">
      <c r="A151" s="1">
        <f t="shared" si="2"/>
        <v>78</v>
      </c>
      <c r="B151" s="31" t="s">
        <v>251</v>
      </c>
      <c r="C151" s="58"/>
      <c r="D151" s="53" t="s">
        <v>335</v>
      </c>
      <c r="E151" s="73"/>
      <c r="F151" s="74"/>
      <c r="G151" s="16"/>
      <c r="H151" s="9"/>
      <c r="I151" s="1"/>
      <c r="J151" s="19"/>
    </row>
    <row r="152" spans="1:10" x14ac:dyDescent="0.25">
      <c r="A152" s="1">
        <f t="shared" si="2"/>
        <v>79</v>
      </c>
      <c r="B152" s="31" t="s">
        <v>252</v>
      </c>
      <c r="C152" s="58" t="s">
        <v>253</v>
      </c>
      <c r="D152" s="53" t="s">
        <v>335</v>
      </c>
      <c r="E152" s="73"/>
      <c r="F152" s="74"/>
      <c r="G152" s="16"/>
      <c r="H152" s="9"/>
      <c r="I152" s="1"/>
      <c r="J152" s="19"/>
    </row>
    <row r="153" spans="1:10" x14ac:dyDescent="0.25">
      <c r="A153" s="1">
        <f t="shared" si="2"/>
        <v>80</v>
      </c>
      <c r="B153" s="31" t="s">
        <v>254</v>
      </c>
      <c r="C153" s="58" t="s">
        <v>255</v>
      </c>
      <c r="D153" s="53" t="s">
        <v>335</v>
      </c>
      <c r="E153" s="73"/>
      <c r="F153" s="74"/>
      <c r="G153" s="16"/>
      <c r="H153" s="1"/>
      <c r="I153" s="1"/>
      <c r="J153" s="19"/>
    </row>
    <row r="154" spans="1:10" x14ac:dyDescent="0.25">
      <c r="A154" s="1">
        <f t="shared" si="2"/>
        <v>81</v>
      </c>
      <c r="B154" s="31" t="s">
        <v>4</v>
      </c>
      <c r="C154" s="58"/>
      <c r="D154" s="53" t="s">
        <v>335</v>
      </c>
      <c r="E154" s="73"/>
      <c r="F154" s="74"/>
      <c r="G154" s="16"/>
      <c r="H154" s="1"/>
      <c r="I154" s="1"/>
      <c r="J154" s="19"/>
    </row>
    <row r="155" spans="1:10" x14ac:dyDescent="0.25">
      <c r="A155" s="1">
        <f t="shared" si="2"/>
        <v>82</v>
      </c>
      <c r="B155" s="31" t="s">
        <v>256</v>
      </c>
      <c r="C155" s="58" t="s">
        <v>257</v>
      </c>
      <c r="D155" s="53" t="s">
        <v>335</v>
      </c>
      <c r="E155" s="73"/>
      <c r="F155" s="74"/>
      <c r="G155" s="16"/>
      <c r="H155" s="1"/>
      <c r="I155" s="1"/>
      <c r="J155" s="19"/>
    </row>
    <row r="156" spans="1:10" x14ac:dyDescent="0.25">
      <c r="A156" s="1">
        <f t="shared" si="2"/>
        <v>83</v>
      </c>
      <c r="B156" s="31" t="s">
        <v>258</v>
      </c>
      <c r="C156" s="58" t="s">
        <v>259</v>
      </c>
      <c r="D156" s="53" t="s">
        <v>335</v>
      </c>
      <c r="E156" s="73"/>
      <c r="F156" s="74"/>
      <c r="G156" s="16"/>
      <c r="H156" s="1"/>
      <c r="I156" s="1"/>
      <c r="J156" s="19"/>
    </row>
    <row r="157" spans="1:10" x14ac:dyDescent="0.25">
      <c r="A157" s="1">
        <f t="shared" si="2"/>
        <v>84</v>
      </c>
      <c r="B157" s="31" t="s">
        <v>260</v>
      </c>
      <c r="C157" s="58" t="s">
        <v>261</v>
      </c>
      <c r="D157" s="53" t="s">
        <v>335</v>
      </c>
      <c r="E157" s="73"/>
      <c r="F157" s="74"/>
      <c r="G157" s="16"/>
      <c r="H157" s="1"/>
      <c r="I157" s="1"/>
      <c r="J157" s="19"/>
    </row>
    <row r="158" spans="1:10" x14ac:dyDescent="0.25">
      <c r="A158" s="1">
        <f t="shared" si="2"/>
        <v>85</v>
      </c>
      <c r="B158" s="31" t="s">
        <v>262</v>
      </c>
      <c r="C158" s="58" t="s">
        <v>263</v>
      </c>
      <c r="D158" s="53" t="s">
        <v>335</v>
      </c>
      <c r="E158" s="73"/>
      <c r="F158" s="74"/>
      <c r="G158" s="16"/>
      <c r="H158" s="1"/>
      <c r="I158" s="1"/>
      <c r="J158" s="19"/>
    </row>
    <row r="159" spans="1:10" x14ac:dyDescent="0.25">
      <c r="A159" s="1">
        <f t="shared" si="2"/>
        <v>86</v>
      </c>
      <c r="B159" s="31" t="s">
        <v>264</v>
      </c>
      <c r="C159" s="58" t="s">
        <v>265</v>
      </c>
      <c r="D159" s="53" t="s">
        <v>335</v>
      </c>
      <c r="E159" s="73"/>
      <c r="F159" s="74"/>
      <c r="G159" s="16"/>
      <c r="H159" s="1"/>
      <c r="I159" s="1"/>
      <c r="J159" s="19"/>
    </row>
    <row r="160" spans="1:10" x14ac:dyDescent="0.25">
      <c r="A160" s="1">
        <f t="shared" si="2"/>
        <v>87</v>
      </c>
      <c r="B160" s="31" t="s">
        <v>266</v>
      </c>
      <c r="C160" s="58" t="s">
        <v>267</v>
      </c>
      <c r="D160" s="53" t="s">
        <v>335</v>
      </c>
      <c r="E160" s="73"/>
      <c r="F160" s="74"/>
      <c r="G160" s="16"/>
      <c r="H160" s="1"/>
      <c r="I160" s="1"/>
      <c r="J160" s="19"/>
    </row>
    <row r="161" spans="1:10" x14ac:dyDescent="0.25">
      <c r="A161" s="1">
        <f t="shared" si="2"/>
        <v>88</v>
      </c>
      <c r="B161" s="31" t="s">
        <v>268</v>
      </c>
      <c r="C161" s="58" t="s">
        <v>269</v>
      </c>
      <c r="D161" s="53" t="s">
        <v>335</v>
      </c>
      <c r="E161" s="73"/>
      <c r="F161" s="74"/>
      <c r="G161" s="16"/>
      <c r="H161" s="1"/>
      <c r="I161" s="1"/>
      <c r="J161" s="19"/>
    </row>
    <row r="162" spans="1:10" x14ac:dyDescent="0.25">
      <c r="A162" s="1">
        <f t="shared" si="2"/>
        <v>89</v>
      </c>
      <c r="B162" s="31" t="s">
        <v>271</v>
      </c>
      <c r="C162" s="58" t="s">
        <v>270</v>
      </c>
      <c r="D162" s="53" t="s">
        <v>335</v>
      </c>
      <c r="E162" s="73"/>
      <c r="F162" s="74"/>
      <c r="G162" s="16"/>
      <c r="H162" s="1"/>
      <c r="I162" s="1"/>
      <c r="J162" s="19"/>
    </row>
    <row r="163" spans="1:10" x14ac:dyDescent="0.25">
      <c r="A163" s="1">
        <f t="shared" si="2"/>
        <v>90</v>
      </c>
      <c r="B163" s="31" t="s">
        <v>272</v>
      </c>
      <c r="C163" s="58" t="s">
        <v>273</v>
      </c>
      <c r="D163" s="53" t="s">
        <v>335</v>
      </c>
      <c r="E163" s="73"/>
      <c r="F163" s="74"/>
      <c r="G163" s="16"/>
      <c r="H163" s="1"/>
      <c r="I163" s="1"/>
      <c r="J163" s="19"/>
    </row>
    <row r="164" spans="1:10" x14ac:dyDescent="0.25">
      <c r="A164" s="1">
        <f t="shared" si="2"/>
        <v>91</v>
      </c>
      <c r="B164" s="31" t="s">
        <v>274</v>
      </c>
      <c r="C164" s="58" t="s">
        <v>275</v>
      </c>
      <c r="D164" s="53" t="s">
        <v>335</v>
      </c>
      <c r="E164" s="73"/>
      <c r="F164" s="74"/>
      <c r="G164" s="16"/>
      <c r="H164" s="1"/>
      <c r="I164" s="1"/>
      <c r="J164" s="19"/>
    </row>
    <row r="165" spans="1:10" x14ac:dyDescent="0.25">
      <c r="A165" s="1">
        <f t="shared" si="2"/>
        <v>92</v>
      </c>
      <c r="B165" s="31" t="s">
        <v>276</v>
      </c>
      <c r="C165" s="58" t="s">
        <v>277</v>
      </c>
      <c r="D165" s="53" t="s">
        <v>335</v>
      </c>
      <c r="E165" s="73"/>
      <c r="F165" s="74"/>
      <c r="G165" s="16"/>
      <c r="H165" s="1"/>
      <c r="I165" s="1"/>
      <c r="J165" s="19"/>
    </row>
    <row r="166" spans="1:10" x14ac:dyDescent="0.25">
      <c r="A166" s="1">
        <f t="shared" si="2"/>
        <v>93</v>
      </c>
      <c r="B166" s="31" t="s">
        <v>278</v>
      </c>
      <c r="C166" s="58" t="s">
        <v>279</v>
      </c>
      <c r="D166" s="53" t="s">
        <v>335</v>
      </c>
      <c r="E166" s="73"/>
      <c r="F166" s="74"/>
      <c r="G166" s="16"/>
      <c r="H166" s="1"/>
      <c r="I166" s="1"/>
      <c r="J166" s="19"/>
    </row>
    <row r="167" spans="1:10" x14ac:dyDescent="0.25">
      <c r="A167" s="1">
        <f t="shared" si="2"/>
        <v>94</v>
      </c>
      <c r="B167" s="31" t="s">
        <v>280</v>
      </c>
      <c r="C167" s="58" t="s">
        <v>281</v>
      </c>
      <c r="D167" s="53" t="s">
        <v>335</v>
      </c>
      <c r="E167" s="73"/>
      <c r="F167" s="74"/>
      <c r="G167" s="16"/>
      <c r="H167" s="1"/>
      <c r="I167" s="1"/>
      <c r="J167" s="19"/>
    </row>
    <row r="168" spans="1:10" x14ac:dyDescent="0.25">
      <c r="A168" s="1">
        <f t="shared" si="2"/>
        <v>95</v>
      </c>
      <c r="B168" s="31" t="s">
        <v>282</v>
      </c>
      <c r="C168" s="58" t="s">
        <v>283</v>
      </c>
      <c r="D168" s="53" t="s">
        <v>335</v>
      </c>
      <c r="E168" s="73"/>
      <c r="F168" s="74"/>
      <c r="G168" s="16"/>
      <c r="H168" s="1"/>
      <c r="I168" s="1"/>
      <c r="J168" s="19"/>
    </row>
    <row r="169" spans="1:10" x14ac:dyDescent="0.25">
      <c r="A169" s="1">
        <f t="shared" si="2"/>
        <v>96</v>
      </c>
      <c r="B169" s="31" t="s">
        <v>284</v>
      </c>
      <c r="C169" s="58" t="s">
        <v>285</v>
      </c>
      <c r="D169" s="53" t="s">
        <v>335</v>
      </c>
      <c r="E169" s="73"/>
      <c r="F169" s="74"/>
      <c r="G169" s="16"/>
      <c r="H169" s="1"/>
      <c r="I169" s="1"/>
      <c r="J169" s="19"/>
    </row>
    <row r="170" spans="1:10" x14ac:dyDescent="0.25">
      <c r="A170" s="1">
        <f t="shared" si="2"/>
        <v>97</v>
      </c>
      <c r="B170" s="31" t="s">
        <v>286</v>
      </c>
      <c r="C170" s="58" t="s">
        <v>287</v>
      </c>
      <c r="D170" s="53" t="s">
        <v>335</v>
      </c>
      <c r="E170" s="73"/>
      <c r="F170" s="74"/>
      <c r="G170" s="16"/>
      <c r="H170" s="1"/>
      <c r="I170" s="1"/>
      <c r="J170" s="19"/>
    </row>
    <row r="171" spans="1:10" x14ac:dyDescent="0.25">
      <c r="A171" s="1">
        <f t="shared" si="2"/>
        <v>98</v>
      </c>
      <c r="B171" s="31" t="s">
        <v>288</v>
      </c>
      <c r="C171" s="58" t="s">
        <v>289</v>
      </c>
      <c r="D171" s="53" t="s">
        <v>335</v>
      </c>
      <c r="E171" s="73"/>
      <c r="F171" s="74"/>
      <c r="G171" s="16"/>
      <c r="H171" s="1"/>
      <c r="I171" s="1"/>
      <c r="J171" s="19"/>
    </row>
    <row r="172" spans="1:10" x14ac:dyDescent="0.25">
      <c r="A172" s="1">
        <f t="shared" si="2"/>
        <v>99</v>
      </c>
      <c r="B172" s="31" t="s">
        <v>290</v>
      </c>
      <c r="C172" s="58" t="s">
        <v>291</v>
      </c>
      <c r="D172" s="53" t="s">
        <v>335</v>
      </c>
      <c r="E172" s="73"/>
      <c r="F172" s="74"/>
      <c r="G172" s="16"/>
      <c r="H172" s="1"/>
      <c r="I172" s="1"/>
      <c r="J172" s="19"/>
    </row>
    <row r="173" spans="1:10" x14ac:dyDescent="0.25">
      <c r="A173" s="1">
        <f t="shared" si="2"/>
        <v>100</v>
      </c>
      <c r="B173" s="31" t="s">
        <v>292</v>
      </c>
      <c r="C173" s="58" t="s">
        <v>293</v>
      </c>
      <c r="D173" s="53" t="s">
        <v>335</v>
      </c>
      <c r="E173" s="73"/>
      <c r="F173" s="74"/>
      <c r="G173" s="16"/>
      <c r="H173" s="1"/>
      <c r="I173" s="1"/>
      <c r="J173" s="19"/>
    </row>
    <row r="174" spans="1:10" x14ac:dyDescent="0.25">
      <c r="A174" s="1">
        <f t="shared" si="2"/>
        <v>101</v>
      </c>
      <c r="B174" s="31" t="s">
        <v>294</v>
      </c>
      <c r="C174" s="58" t="s">
        <v>295</v>
      </c>
      <c r="D174" s="53" t="s">
        <v>335</v>
      </c>
      <c r="E174" s="73"/>
      <c r="F174" s="74"/>
      <c r="G174" s="16"/>
      <c r="H174" s="1"/>
      <c r="I174" s="1"/>
      <c r="J174" s="19"/>
    </row>
    <row r="175" spans="1:10" x14ac:dyDescent="0.25">
      <c r="A175" s="1">
        <f t="shared" si="2"/>
        <v>102</v>
      </c>
      <c r="B175" s="31" t="s">
        <v>296</v>
      </c>
      <c r="C175" s="58" t="s">
        <v>297</v>
      </c>
      <c r="D175" s="53" t="s">
        <v>335</v>
      </c>
      <c r="E175" s="73"/>
      <c r="F175" s="74"/>
      <c r="G175" s="16"/>
      <c r="H175" s="1"/>
      <c r="I175" s="1"/>
      <c r="J175" s="19"/>
    </row>
    <row r="176" spans="1:10" x14ac:dyDescent="0.25">
      <c r="A176" s="1">
        <f t="shared" si="2"/>
        <v>103</v>
      </c>
      <c r="B176" s="31" t="s">
        <v>298</v>
      </c>
      <c r="C176" s="58" t="s">
        <v>299</v>
      </c>
      <c r="D176" s="53" t="s">
        <v>335</v>
      </c>
      <c r="E176" s="73"/>
      <c r="F176" s="74"/>
      <c r="G176" s="16"/>
      <c r="H176" s="1"/>
      <c r="I176" s="1"/>
      <c r="J176" s="19"/>
    </row>
    <row r="177" spans="1:10" x14ac:dyDescent="0.25">
      <c r="A177" s="1">
        <f t="shared" si="2"/>
        <v>104</v>
      </c>
      <c r="B177" s="31" t="s">
        <v>300</v>
      </c>
      <c r="C177" s="58" t="s">
        <v>301</v>
      </c>
      <c r="D177" s="53" t="s">
        <v>335</v>
      </c>
      <c r="E177" s="73"/>
      <c r="F177" s="74"/>
      <c r="G177" s="16"/>
      <c r="H177" s="1"/>
      <c r="I177" s="1"/>
      <c r="J177" s="19"/>
    </row>
    <row r="178" spans="1:10" x14ac:dyDescent="0.25">
      <c r="A178" s="1">
        <f t="shared" si="2"/>
        <v>105</v>
      </c>
      <c r="B178" s="31" t="s">
        <v>302</v>
      </c>
      <c r="C178" s="58" t="s">
        <v>303</v>
      </c>
      <c r="D178" s="53" t="s">
        <v>335</v>
      </c>
      <c r="E178" s="73"/>
      <c r="F178" s="74"/>
      <c r="G178" s="16"/>
      <c r="H178" s="1"/>
      <c r="I178" s="1"/>
      <c r="J178" s="19"/>
    </row>
    <row r="179" spans="1:10" x14ac:dyDescent="0.25">
      <c r="A179" s="1">
        <f t="shared" si="2"/>
        <v>106</v>
      </c>
      <c r="B179" s="31" t="s">
        <v>304</v>
      </c>
      <c r="C179" s="58" t="s">
        <v>305</v>
      </c>
      <c r="D179" s="53" t="s">
        <v>335</v>
      </c>
      <c r="E179" s="73"/>
      <c r="F179" s="74"/>
      <c r="G179" s="16"/>
      <c r="H179" s="1"/>
      <c r="I179" s="1"/>
      <c r="J179" s="19"/>
    </row>
    <row r="180" spans="1:10" x14ac:dyDescent="0.25">
      <c r="A180" s="1">
        <f t="shared" si="2"/>
        <v>107</v>
      </c>
      <c r="B180" s="31" t="s">
        <v>306</v>
      </c>
      <c r="C180" s="58" t="s">
        <v>307</v>
      </c>
      <c r="D180" s="53" t="s">
        <v>335</v>
      </c>
      <c r="E180" s="73"/>
      <c r="F180" s="74"/>
      <c r="G180" s="16"/>
      <c r="H180" s="1"/>
      <c r="I180" s="1"/>
      <c r="J180" s="19"/>
    </row>
    <row r="181" spans="1:10" x14ac:dyDescent="0.25">
      <c r="A181" s="1">
        <f t="shared" si="2"/>
        <v>108</v>
      </c>
      <c r="B181" s="31" t="s">
        <v>308</v>
      </c>
      <c r="C181" s="58" t="s">
        <v>309</v>
      </c>
      <c r="D181" s="53" t="s">
        <v>335</v>
      </c>
      <c r="E181" s="73"/>
      <c r="F181" s="74"/>
      <c r="G181" s="16"/>
      <c r="H181" s="1"/>
      <c r="I181" s="1"/>
      <c r="J181" s="19"/>
    </row>
    <row r="182" spans="1:10" x14ac:dyDescent="0.25">
      <c r="A182" s="1">
        <f t="shared" si="2"/>
        <v>109</v>
      </c>
      <c r="B182" s="31" t="s">
        <v>310</v>
      </c>
      <c r="C182" s="58" t="s">
        <v>311</v>
      </c>
      <c r="D182" s="53" t="s">
        <v>334</v>
      </c>
      <c r="E182" s="73"/>
      <c r="F182" s="74"/>
      <c r="G182" s="16"/>
      <c r="H182" s="1"/>
      <c r="I182" s="1"/>
      <c r="J182" s="19"/>
    </row>
    <row r="183" spans="1:10" x14ac:dyDescent="0.25">
      <c r="A183" s="1">
        <f t="shared" si="2"/>
        <v>110</v>
      </c>
      <c r="B183" s="31" t="s">
        <v>312</v>
      </c>
      <c r="C183" s="58" t="s">
        <v>313</v>
      </c>
      <c r="D183" s="53" t="s">
        <v>335</v>
      </c>
      <c r="E183" s="73"/>
      <c r="F183" s="74"/>
      <c r="G183" s="16"/>
      <c r="H183" s="1"/>
      <c r="I183" s="1"/>
      <c r="J183" s="19"/>
    </row>
    <row r="184" spans="1:10" x14ac:dyDescent="0.25">
      <c r="A184" s="1">
        <f t="shared" si="2"/>
        <v>111</v>
      </c>
      <c r="B184" s="31" t="s">
        <v>314</v>
      </c>
      <c r="C184" s="58" t="s">
        <v>315</v>
      </c>
      <c r="D184" s="53" t="s">
        <v>335</v>
      </c>
      <c r="E184" s="73"/>
      <c r="F184" s="74"/>
      <c r="G184" s="16"/>
      <c r="H184" s="1"/>
      <c r="I184" s="1"/>
      <c r="J184" s="19"/>
    </row>
    <row r="185" spans="1:10" x14ac:dyDescent="0.25">
      <c r="A185" s="1">
        <f t="shared" si="2"/>
        <v>112</v>
      </c>
      <c r="B185" s="31" t="s">
        <v>316</v>
      </c>
      <c r="C185" s="58" t="s">
        <v>317</v>
      </c>
      <c r="D185" s="53" t="s">
        <v>335</v>
      </c>
      <c r="E185" s="73"/>
      <c r="F185" s="74"/>
      <c r="G185" s="16"/>
      <c r="H185" s="1"/>
      <c r="I185" s="1"/>
      <c r="J185" s="19"/>
    </row>
    <row r="186" spans="1:10" x14ac:dyDescent="0.25">
      <c r="A186" s="1">
        <f t="shared" si="2"/>
        <v>113</v>
      </c>
      <c r="B186" s="31" t="s">
        <v>318</v>
      </c>
      <c r="C186" s="58" t="s">
        <v>319</v>
      </c>
      <c r="D186" s="53" t="s">
        <v>335</v>
      </c>
      <c r="E186" s="73"/>
      <c r="F186" s="74"/>
      <c r="G186" s="16"/>
      <c r="H186" s="1"/>
      <c r="I186" s="1"/>
      <c r="J186" s="19"/>
    </row>
    <row r="187" spans="1:10" x14ac:dyDescent="0.25">
      <c r="A187" s="1">
        <f t="shared" si="2"/>
        <v>114</v>
      </c>
      <c r="B187" s="31" t="s">
        <v>320</v>
      </c>
      <c r="C187" s="58" t="s">
        <v>321</v>
      </c>
      <c r="D187" s="53" t="s">
        <v>335</v>
      </c>
      <c r="E187" s="73"/>
      <c r="F187" s="74"/>
      <c r="G187" s="16"/>
      <c r="H187" s="1"/>
      <c r="I187" s="1"/>
      <c r="J187" s="19"/>
    </row>
    <row r="188" spans="1:10" x14ac:dyDescent="0.25">
      <c r="A188" s="1">
        <f t="shared" si="2"/>
        <v>115</v>
      </c>
      <c r="B188" s="31" t="s">
        <v>322</v>
      </c>
      <c r="C188" s="58" t="s">
        <v>323</v>
      </c>
      <c r="D188" s="53" t="s">
        <v>335</v>
      </c>
      <c r="E188" s="73"/>
      <c r="F188" s="74"/>
      <c r="G188" s="16"/>
      <c r="H188" s="1"/>
      <c r="I188" s="1"/>
      <c r="J188" s="19"/>
    </row>
    <row r="189" spans="1:10" x14ac:dyDescent="0.25">
      <c r="A189" s="1">
        <f t="shared" si="2"/>
        <v>116</v>
      </c>
      <c r="B189" s="31" t="s">
        <v>324</v>
      </c>
      <c r="C189" s="58" t="s">
        <v>325</v>
      </c>
      <c r="D189" s="53" t="s">
        <v>335</v>
      </c>
      <c r="E189" s="73"/>
      <c r="F189" s="74"/>
      <c r="G189" s="16"/>
      <c r="H189" s="1"/>
      <c r="I189" s="1"/>
      <c r="J189" s="19"/>
    </row>
    <row r="190" spans="1:10" x14ac:dyDescent="0.25">
      <c r="A190" s="1">
        <f t="shared" si="2"/>
        <v>117</v>
      </c>
      <c r="B190" s="31" t="s">
        <v>326</v>
      </c>
      <c r="C190" s="58" t="s">
        <v>327</v>
      </c>
      <c r="D190" s="53" t="s">
        <v>335</v>
      </c>
      <c r="E190" s="73"/>
      <c r="F190" s="74"/>
      <c r="G190" s="16"/>
      <c r="H190" s="1"/>
      <c r="I190" s="1"/>
      <c r="J190" s="19"/>
    </row>
    <row r="191" spans="1:10" x14ac:dyDescent="0.25">
      <c r="A191" s="1">
        <f t="shared" si="2"/>
        <v>118</v>
      </c>
      <c r="B191" s="31" t="s">
        <v>328</v>
      </c>
      <c r="C191" s="58" t="s">
        <v>329</v>
      </c>
      <c r="D191" s="53" t="s">
        <v>335</v>
      </c>
      <c r="E191" s="73"/>
      <c r="F191" s="74"/>
      <c r="G191" s="16"/>
      <c r="H191" s="1"/>
      <c r="I191" s="1"/>
      <c r="J191" s="19"/>
    </row>
    <row r="192" spans="1:10" x14ac:dyDescent="0.25">
      <c r="A192" s="1">
        <f t="shared" si="2"/>
        <v>119</v>
      </c>
      <c r="B192" s="31" t="s">
        <v>330</v>
      </c>
      <c r="C192" s="58" t="s">
        <v>331</v>
      </c>
      <c r="D192" s="53" t="s">
        <v>335</v>
      </c>
      <c r="E192" s="73"/>
      <c r="F192" s="74"/>
      <c r="G192" s="16"/>
      <c r="H192" s="1"/>
      <c r="I192" s="1"/>
      <c r="J192" s="19"/>
    </row>
    <row r="193" spans="1:10" x14ac:dyDescent="0.25">
      <c r="A193" s="1">
        <f t="shared" si="2"/>
        <v>120</v>
      </c>
      <c r="B193" s="31" t="s">
        <v>332</v>
      </c>
      <c r="C193" s="58" t="s">
        <v>333</v>
      </c>
      <c r="D193" s="53" t="s">
        <v>335</v>
      </c>
      <c r="E193" s="73"/>
      <c r="F193" s="74"/>
      <c r="G193" s="16"/>
      <c r="H193" s="1"/>
      <c r="I193" s="1"/>
      <c r="J193" s="19"/>
    </row>
    <row r="194" spans="1:10" x14ac:dyDescent="0.25">
      <c r="A194" s="1">
        <f t="shared" si="2"/>
        <v>121</v>
      </c>
      <c r="B194" s="31"/>
      <c r="C194" s="58"/>
      <c r="D194" s="53"/>
      <c r="E194" s="73"/>
      <c r="F194" s="74"/>
      <c r="G194" s="16"/>
      <c r="H194" s="1"/>
      <c r="I194" s="1"/>
      <c r="J194" s="19"/>
    </row>
    <row r="195" spans="1:10" x14ac:dyDescent="0.25">
      <c r="A195" s="1">
        <f t="shared" si="2"/>
        <v>122</v>
      </c>
      <c r="B195" s="31"/>
      <c r="C195" s="58"/>
      <c r="D195" s="53"/>
      <c r="E195" s="73"/>
      <c r="F195" s="74"/>
      <c r="G195" s="16"/>
      <c r="H195" s="1"/>
      <c r="I195" s="1"/>
      <c r="J195" s="19"/>
    </row>
    <row r="196" spans="1:10" x14ac:dyDescent="0.25">
      <c r="A196" s="1">
        <f t="shared" si="2"/>
        <v>123</v>
      </c>
      <c r="B196" s="31"/>
      <c r="C196" s="58"/>
      <c r="D196" s="53"/>
      <c r="E196" s="73"/>
      <c r="F196" s="74"/>
      <c r="G196" s="16"/>
      <c r="H196" s="1"/>
      <c r="I196" s="1"/>
      <c r="J196" s="19"/>
    </row>
    <row r="197" spans="1:10" x14ac:dyDescent="0.25">
      <c r="A197" s="1">
        <f t="shared" si="2"/>
        <v>124</v>
      </c>
      <c r="B197" s="31"/>
      <c r="C197" s="58"/>
      <c r="D197" s="53"/>
      <c r="E197" s="73"/>
      <c r="F197" s="74"/>
      <c r="G197" s="16"/>
      <c r="H197" s="1"/>
      <c r="I197" s="1"/>
      <c r="J197" s="19"/>
    </row>
    <row r="198" spans="1:10" x14ac:dyDescent="0.25">
      <c r="A198" s="1">
        <f t="shared" si="2"/>
        <v>125</v>
      </c>
      <c r="B198" s="31"/>
      <c r="C198" s="58"/>
      <c r="D198" s="52"/>
      <c r="E198" s="79"/>
      <c r="F198" s="74"/>
      <c r="G198" s="16"/>
      <c r="H198" s="1"/>
      <c r="I198" s="1"/>
      <c r="J198" s="19"/>
    </row>
    <row r="199" spans="1:10" x14ac:dyDescent="0.25">
      <c r="A199" s="1">
        <f t="shared" si="2"/>
        <v>126</v>
      </c>
      <c r="B199" s="31"/>
      <c r="C199" s="58"/>
      <c r="D199" s="52"/>
      <c r="E199" s="79"/>
      <c r="F199" s="74"/>
      <c r="G199" s="16"/>
      <c r="H199" s="1"/>
      <c r="I199" s="1"/>
      <c r="J199" s="19"/>
    </row>
    <row r="200" spans="1:10" x14ac:dyDescent="0.25">
      <c r="A200" s="1">
        <f t="shared" si="2"/>
        <v>127</v>
      </c>
      <c r="B200" s="31"/>
      <c r="C200" s="58"/>
      <c r="D200" s="52"/>
      <c r="E200" s="79"/>
      <c r="F200" s="74"/>
      <c r="G200" s="16"/>
      <c r="H200" s="1"/>
      <c r="I200" s="1"/>
      <c r="J200" s="19"/>
    </row>
    <row r="201" spans="1:10" x14ac:dyDescent="0.25">
      <c r="A201" s="1">
        <f t="shared" si="2"/>
        <v>128</v>
      </c>
      <c r="B201" s="31"/>
      <c r="C201" s="58"/>
      <c r="D201" s="15"/>
      <c r="E201" s="80"/>
      <c r="F201" s="81"/>
      <c r="G201" s="16"/>
      <c r="H201" s="1"/>
      <c r="I201" s="1"/>
      <c r="J201" s="19"/>
    </row>
    <row r="202" spans="1:10" x14ac:dyDescent="0.25">
      <c r="A202" s="1">
        <f t="shared" si="2"/>
        <v>129</v>
      </c>
      <c r="B202" s="31"/>
      <c r="C202" s="58"/>
      <c r="D202" s="15"/>
      <c r="E202" s="80"/>
      <c r="F202" s="81"/>
      <c r="G202" s="16"/>
      <c r="H202" s="1"/>
      <c r="I202" s="1"/>
      <c r="J202" s="19"/>
    </row>
    <row r="203" spans="1:10" x14ac:dyDescent="0.25">
      <c r="A203" s="1">
        <f>A202+1</f>
        <v>130</v>
      </c>
      <c r="B203" s="31"/>
      <c r="C203" s="58"/>
      <c r="D203" s="15"/>
      <c r="E203" s="80"/>
      <c r="F203" s="81"/>
      <c r="G203" s="16"/>
      <c r="H203" s="1"/>
      <c r="I203" s="1"/>
      <c r="J203" s="19"/>
    </row>
    <row r="204" spans="1:10" x14ac:dyDescent="0.25">
      <c r="A204" s="1">
        <f>A70+1</f>
        <v>69</v>
      </c>
      <c r="B204" s="59"/>
      <c r="C204" s="60"/>
      <c r="D204" s="15"/>
      <c r="E204" s="80"/>
      <c r="F204" s="81"/>
      <c r="G204" s="16"/>
      <c r="H204" s="1"/>
      <c r="I204" s="1"/>
      <c r="J204" s="19"/>
    </row>
    <row r="205" spans="1:10" ht="15.75" thickBot="1" x14ac:dyDescent="0.3">
      <c r="A205" s="1">
        <f>A203+1</f>
        <v>131</v>
      </c>
      <c r="B205" s="31"/>
      <c r="C205" s="58"/>
      <c r="D205" s="15"/>
      <c r="E205" s="80"/>
      <c r="F205" s="82"/>
      <c r="G205" s="20"/>
      <c r="H205" s="21"/>
      <c r="I205" s="21"/>
      <c r="J205" s="22"/>
    </row>
  </sheetData>
  <mergeCells count="1">
    <mergeCell ref="A1:C1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05"/>
  <sheetViews>
    <sheetView workbookViewId="0">
      <selection activeCell="G1" sqref="G1:G1048576"/>
    </sheetView>
  </sheetViews>
  <sheetFormatPr baseColWidth="10" defaultRowHeight="15" x14ac:dyDescent="0.25"/>
  <cols>
    <col min="1" max="1" width="5.28515625" customWidth="1"/>
    <col min="2" max="2" width="38.28515625" customWidth="1"/>
    <col min="7" max="7" width="6.85546875" customWidth="1"/>
  </cols>
  <sheetData>
    <row r="1" spans="1:10" ht="15.75" thickBot="1" x14ac:dyDescent="0.3">
      <c r="A1" s="378" t="s">
        <v>8</v>
      </c>
      <c r="B1" s="378"/>
      <c r="C1" s="378"/>
      <c r="D1" s="35"/>
      <c r="E1" s="36"/>
      <c r="F1" s="36" t="s">
        <v>98</v>
      </c>
      <c r="G1" s="36"/>
      <c r="H1" s="37"/>
    </row>
    <row r="2" spans="1:10" ht="15.75" thickBot="1" x14ac:dyDescent="0.3">
      <c r="A2" s="6" t="s">
        <v>3</v>
      </c>
      <c r="B2" s="49" t="s">
        <v>0</v>
      </c>
      <c r="C2" s="48" t="s">
        <v>1</v>
      </c>
      <c r="D2" s="10" t="s">
        <v>2</v>
      </c>
      <c r="E2" s="71" t="s">
        <v>336</v>
      </c>
      <c r="F2" s="72" t="s">
        <v>337</v>
      </c>
      <c r="G2" s="50" t="s">
        <v>10</v>
      </c>
      <c r="H2" s="51" t="s">
        <v>11</v>
      </c>
      <c r="I2" s="17" t="s">
        <v>12</v>
      </c>
      <c r="J2" s="18" t="s">
        <v>13</v>
      </c>
    </row>
    <row r="3" spans="1:10" x14ac:dyDescent="0.25">
      <c r="A3" s="1">
        <v>1</v>
      </c>
      <c r="B3" s="1" t="s">
        <v>14</v>
      </c>
      <c r="C3" s="4" t="s">
        <v>100</v>
      </c>
      <c r="D3" s="53" t="s">
        <v>5</v>
      </c>
      <c r="E3" s="73"/>
      <c r="F3" s="74"/>
      <c r="G3" s="16"/>
      <c r="H3" s="68"/>
      <c r="I3" s="1"/>
      <c r="J3" s="19"/>
    </row>
    <row r="4" spans="1:10" x14ac:dyDescent="0.25">
      <c r="A4" s="1">
        <f>A3+1</f>
        <v>2</v>
      </c>
      <c r="B4" s="1" t="s">
        <v>15</v>
      </c>
      <c r="C4" s="4"/>
      <c r="D4" s="53" t="s">
        <v>5</v>
      </c>
      <c r="E4" s="73"/>
      <c r="F4" s="74"/>
      <c r="G4" s="16"/>
      <c r="H4" s="1"/>
      <c r="I4" s="1"/>
      <c r="J4" s="19"/>
    </row>
    <row r="5" spans="1:10" x14ac:dyDescent="0.25">
      <c r="A5" s="1">
        <f t="shared" ref="A5:A68" si="0">A4+1</f>
        <v>3</v>
      </c>
      <c r="B5" s="3" t="s">
        <v>16</v>
      </c>
      <c r="C5" s="5" t="s">
        <v>101</v>
      </c>
      <c r="D5" s="54" t="s">
        <v>5</v>
      </c>
      <c r="E5" s="73"/>
      <c r="F5" s="74"/>
      <c r="G5" s="16"/>
      <c r="H5" s="1"/>
      <c r="I5" s="1"/>
      <c r="J5" s="19"/>
    </row>
    <row r="6" spans="1:10" x14ac:dyDescent="0.25">
      <c r="A6" s="1">
        <f t="shared" si="0"/>
        <v>4</v>
      </c>
      <c r="B6" s="1" t="s">
        <v>17</v>
      </c>
      <c r="C6" s="4"/>
      <c r="D6" s="53" t="s">
        <v>5</v>
      </c>
      <c r="E6" s="73"/>
      <c r="F6" s="74"/>
      <c r="G6" s="16"/>
      <c r="H6" s="1"/>
      <c r="I6" s="1"/>
      <c r="J6" s="19"/>
    </row>
    <row r="7" spans="1:10" x14ac:dyDescent="0.25">
      <c r="A7" s="1">
        <f t="shared" si="0"/>
        <v>5</v>
      </c>
      <c r="B7" s="1" t="s">
        <v>18</v>
      </c>
      <c r="C7" s="4"/>
      <c r="D7" s="53" t="s">
        <v>5</v>
      </c>
      <c r="E7" s="73"/>
      <c r="F7" s="74"/>
      <c r="G7" s="16"/>
      <c r="H7" s="1"/>
      <c r="I7" s="1"/>
      <c r="J7" s="19"/>
    </row>
    <row r="8" spans="1:10" x14ac:dyDescent="0.25">
      <c r="A8" s="1">
        <f t="shared" si="0"/>
        <v>6</v>
      </c>
      <c r="B8" s="1" t="s">
        <v>19</v>
      </c>
      <c r="C8" s="4"/>
      <c r="D8" s="53" t="s">
        <v>5</v>
      </c>
      <c r="E8" s="73"/>
      <c r="F8" s="74"/>
      <c r="G8" s="16"/>
      <c r="H8" s="1"/>
      <c r="I8" s="1"/>
      <c r="J8" s="19"/>
    </row>
    <row r="9" spans="1:10" x14ac:dyDescent="0.25">
      <c r="A9" s="1">
        <f t="shared" si="0"/>
        <v>7</v>
      </c>
      <c r="B9" s="1" t="s">
        <v>20</v>
      </c>
      <c r="C9" s="4"/>
      <c r="D9" s="53" t="s">
        <v>5</v>
      </c>
      <c r="E9" s="73"/>
      <c r="F9" s="74"/>
      <c r="G9" s="16"/>
      <c r="H9" s="1"/>
      <c r="I9" s="1"/>
      <c r="J9" s="19"/>
    </row>
    <row r="10" spans="1:10" x14ac:dyDescent="0.25">
      <c r="A10" s="1">
        <f t="shared" si="0"/>
        <v>8</v>
      </c>
      <c r="B10" s="1" t="s">
        <v>21</v>
      </c>
      <c r="C10" s="4"/>
      <c r="D10" s="53" t="s">
        <v>5</v>
      </c>
      <c r="E10" s="73"/>
      <c r="F10" s="74"/>
      <c r="G10" s="16"/>
      <c r="H10" s="1"/>
      <c r="I10" s="1"/>
      <c r="J10" s="19"/>
    </row>
    <row r="11" spans="1:10" x14ac:dyDescent="0.25">
      <c r="A11" s="1">
        <f t="shared" si="0"/>
        <v>9</v>
      </c>
      <c r="B11" s="1" t="s">
        <v>22</v>
      </c>
      <c r="C11" s="4"/>
      <c r="D11" s="53" t="s">
        <v>5</v>
      </c>
      <c r="E11" s="73"/>
      <c r="F11" s="74"/>
      <c r="G11" s="16"/>
      <c r="H11" s="1"/>
      <c r="I11" s="1"/>
      <c r="J11" s="19"/>
    </row>
    <row r="12" spans="1:10" x14ac:dyDescent="0.25">
      <c r="A12" s="1">
        <f t="shared" si="0"/>
        <v>10</v>
      </c>
      <c r="B12" s="1" t="s">
        <v>23</v>
      </c>
      <c r="C12" s="4"/>
      <c r="D12" s="53" t="s">
        <v>5</v>
      </c>
      <c r="E12" s="73"/>
      <c r="F12" s="74"/>
      <c r="G12" s="16"/>
      <c r="H12" s="1"/>
      <c r="I12" s="1"/>
      <c r="J12" s="19"/>
    </row>
    <row r="13" spans="1:10" x14ac:dyDescent="0.25">
      <c r="A13" s="1">
        <f t="shared" si="0"/>
        <v>11</v>
      </c>
      <c r="B13" s="1" t="s">
        <v>24</v>
      </c>
      <c r="C13" s="4"/>
      <c r="D13" s="53" t="s">
        <v>5</v>
      </c>
      <c r="E13" s="73"/>
      <c r="F13" s="74"/>
      <c r="G13" s="16"/>
      <c r="H13" s="1"/>
      <c r="I13" s="1"/>
      <c r="J13" s="19"/>
    </row>
    <row r="14" spans="1:10" x14ac:dyDescent="0.25">
      <c r="A14" s="1">
        <f t="shared" si="0"/>
        <v>12</v>
      </c>
      <c r="B14" s="1" t="s">
        <v>25</v>
      </c>
      <c r="C14" s="4"/>
      <c r="D14" s="53" t="s">
        <v>5</v>
      </c>
      <c r="E14" s="73"/>
      <c r="F14" s="74"/>
      <c r="G14" s="16"/>
      <c r="H14" s="1"/>
      <c r="I14" s="1"/>
      <c r="J14" s="19"/>
    </row>
    <row r="15" spans="1:10" x14ac:dyDescent="0.25">
      <c r="A15" s="1">
        <f t="shared" si="0"/>
        <v>13</v>
      </c>
      <c r="B15" s="1" t="s">
        <v>26</v>
      </c>
      <c r="C15" s="4"/>
      <c r="D15" s="53" t="s">
        <v>5</v>
      </c>
      <c r="E15" s="73"/>
      <c r="F15" s="74"/>
      <c r="G15" s="16"/>
      <c r="H15" s="1"/>
      <c r="I15" s="1"/>
      <c r="J15" s="19"/>
    </row>
    <row r="16" spans="1:10" x14ac:dyDescent="0.25">
      <c r="A16" s="1">
        <f t="shared" si="0"/>
        <v>14</v>
      </c>
      <c r="B16" s="1" t="s">
        <v>27</v>
      </c>
      <c r="C16" s="4"/>
      <c r="D16" s="53" t="s">
        <v>5</v>
      </c>
      <c r="E16" s="73"/>
      <c r="F16" s="74"/>
      <c r="G16" s="16"/>
      <c r="H16" s="1"/>
      <c r="I16" s="1"/>
      <c r="J16" s="19"/>
    </row>
    <row r="17" spans="1:10" x14ac:dyDescent="0.25">
      <c r="A17" s="1">
        <f t="shared" si="0"/>
        <v>15</v>
      </c>
      <c r="B17" s="31" t="s">
        <v>28</v>
      </c>
      <c r="C17" s="4"/>
      <c r="D17" s="53" t="s">
        <v>5</v>
      </c>
      <c r="E17" s="73"/>
      <c r="F17" s="74"/>
      <c r="G17" s="16"/>
      <c r="H17" s="1"/>
      <c r="I17" s="1"/>
      <c r="J17" s="19"/>
    </row>
    <row r="18" spans="1:10" x14ac:dyDescent="0.25">
      <c r="A18" s="1">
        <f t="shared" si="0"/>
        <v>16</v>
      </c>
      <c r="B18" s="1" t="s">
        <v>29</v>
      </c>
      <c r="C18" s="4"/>
      <c r="D18" s="53" t="s">
        <v>7</v>
      </c>
      <c r="E18" s="73"/>
      <c r="F18" s="74"/>
      <c r="G18" s="16"/>
      <c r="H18" s="1"/>
      <c r="I18" s="1"/>
      <c r="J18" s="19"/>
    </row>
    <row r="19" spans="1:10" x14ac:dyDescent="0.25">
      <c r="A19" s="1">
        <f t="shared" si="0"/>
        <v>17</v>
      </c>
      <c r="B19" s="1" t="s">
        <v>30</v>
      </c>
      <c r="C19" s="4"/>
      <c r="D19" s="53" t="s">
        <v>5</v>
      </c>
      <c r="E19" s="73"/>
      <c r="F19" s="74"/>
      <c r="G19" s="16"/>
      <c r="H19" s="1"/>
      <c r="I19" s="1"/>
      <c r="J19" s="19"/>
    </row>
    <row r="20" spans="1:10" x14ac:dyDescent="0.25">
      <c r="A20" s="1">
        <f t="shared" si="0"/>
        <v>18</v>
      </c>
      <c r="B20" s="1" t="s">
        <v>31</v>
      </c>
      <c r="C20" s="4"/>
      <c r="D20" s="53" t="s">
        <v>5</v>
      </c>
      <c r="E20" s="73"/>
      <c r="F20" s="74"/>
      <c r="G20" s="16"/>
      <c r="H20" s="1"/>
      <c r="I20" s="1"/>
      <c r="J20" s="19"/>
    </row>
    <row r="21" spans="1:10" x14ac:dyDescent="0.25">
      <c r="A21" s="1">
        <f t="shared" si="0"/>
        <v>19</v>
      </c>
      <c r="B21" s="1" t="s">
        <v>32</v>
      </c>
      <c r="C21" s="4"/>
      <c r="D21" s="53" t="s">
        <v>5</v>
      </c>
      <c r="E21" s="73"/>
      <c r="F21" s="74"/>
      <c r="G21" s="16"/>
      <c r="H21" s="1"/>
      <c r="I21" s="1"/>
      <c r="J21" s="19"/>
    </row>
    <row r="22" spans="1:10" x14ac:dyDescent="0.25">
      <c r="A22" s="1">
        <f t="shared" si="0"/>
        <v>20</v>
      </c>
      <c r="B22" s="1" t="s">
        <v>33</v>
      </c>
      <c r="C22" s="4"/>
      <c r="D22" s="53" t="s">
        <v>5</v>
      </c>
      <c r="E22" s="73"/>
      <c r="F22" s="74"/>
      <c r="G22" s="16"/>
      <c r="H22" s="1"/>
      <c r="I22" s="1"/>
      <c r="J22" s="19"/>
    </row>
    <row r="23" spans="1:10" x14ac:dyDescent="0.25">
      <c r="A23" s="1">
        <f t="shared" si="0"/>
        <v>21</v>
      </c>
      <c r="B23" s="1" t="s">
        <v>34</v>
      </c>
      <c r="C23" s="4"/>
      <c r="D23" s="53" t="s">
        <v>5</v>
      </c>
      <c r="E23" s="73"/>
      <c r="F23" s="74"/>
      <c r="G23" s="16"/>
      <c r="H23" s="1"/>
      <c r="I23" s="1"/>
      <c r="J23" s="19"/>
    </row>
    <row r="24" spans="1:10" x14ac:dyDescent="0.25">
      <c r="A24" s="1">
        <f t="shared" si="0"/>
        <v>22</v>
      </c>
      <c r="B24" s="1" t="s">
        <v>35</v>
      </c>
      <c r="C24" s="4"/>
      <c r="D24" s="53" t="s">
        <v>5</v>
      </c>
      <c r="E24" s="73"/>
      <c r="F24" s="74"/>
      <c r="G24" s="16"/>
      <c r="H24" s="1"/>
      <c r="I24" s="1"/>
      <c r="J24" s="19"/>
    </row>
    <row r="25" spans="1:10" x14ac:dyDescent="0.25">
      <c r="A25" s="1">
        <f t="shared" si="0"/>
        <v>23</v>
      </c>
      <c r="B25" s="1" t="s">
        <v>36</v>
      </c>
      <c r="C25" s="4"/>
      <c r="D25" s="53" t="s">
        <v>5</v>
      </c>
      <c r="E25" s="73"/>
      <c r="F25" s="74"/>
      <c r="G25" s="16"/>
      <c r="H25" s="1"/>
      <c r="I25" s="1"/>
      <c r="J25" s="19"/>
    </row>
    <row r="26" spans="1:10" x14ac:dyDescent="0.25">
      <c r="A26" s="1">
        <f t="shared" si="0"/>
        <v>24</v>
      </c>
      <c r="B26" s="1" t="s">
        <v>37</v>
      </c>
      <c r="C26" s="4"/>
      <c r="D26" s="53" t="s">
        <v>5</v>
      </c>
      <c r="E26" s="73"/>
      <c r="F26" s="74"/>
      <c r="G26" s="16"/>
      <c r="H26" s="1"/>
      <c r="I26" s="1"/>
      <c r="J26" s="19"/>
    </row>
    <row r="27" spans="1:10" x14ac:dyDescent="0.25">
      <c r="A27" s="1">
        <f t="shared" si="0"/>
        <v>25</v>
      </c>
      <c r="B27" s="1" t="s">
        <v>38</v>
      </c>
      <c r="C27" s="4"/>
      <c r="D27" s="53" t="s">
        <v>5</v>
      </c>
      <c r="E27" s="73"/>
      <c r="F27" s="74"/>
      <c r="G27" s="16"/>
      <c r="H27" s="1"/>
      <c r="I27" s="1"/>
      <c r="J27" s="19"/>
    </row>
    <row r="28" spans="1:10" x14ac:dyDescent="0.25">
      <c r="A28" s="1">
        <f t="shared" si="0"/>
        <v>26</v>
      </c>
      <c r="B28" s="1" t="s">
        <v>39</v>
      </c>
      <c r="C28" s="4"/>
      <c r="D28" s="53" t="s">
        <v>5</v>
      </c>
      <c r="E28" s="73"/>
      <c r="F28" s="74"/>
      <c r="G28" s="16"/>
      <c r="H28" s="1"/>
      <c r="I28" s="1"/>
      <c r="J28" s="19"/>
    </row>
    <row r="29" spans="1:10" x14ac:dyDescent="0.25">
      <c r="A29" s="1">
        <f t="shared" si="0"/>
        <v>27</v>
      </c>
      <c r="B29" s="1" t="s">
        <v>40</v>
      </c>
      <c r="C29" s="4"/>
      <c r="D29" s="53" t="s">
        <v>5</v>
      </c>
      <c r="E29" s="73"/>
      <c r="F29" s="74"/>
      <c r="G29" s="16"/>
      <c r="H29" s="1"/>
      <c r="I29" s="1"/>
      <c r="J29" s="19"/>
    </row>
    <row r="30" spans="1:10" x14ac:dyDescent="0.25">
      <c r="A30" s="1">
        <f t="shared" si="0"/>
        <v>28</v>
      </c>
      <c r="B30" s="1" t="s">
        <v>41</v>
      </c>
      <c r="C30" s="4"/>
      <c r="D30" s="53" t="s">
        <v>5</v>
      </c>
      <c r="E30" s="73"/>
      <c r="F30" s="74"/>
      <c r="G30" s="16"/>
      <c r="H30" s="1"/>
      <c r="I30" s="1"/>
      <c r="J30" s="19"/>
    </row>
    <row r="31" spans="1:10" x14ac:dyDescent="0.25">
      <c r="A31" s="1">
        <f t="shared" si="0"/>
        <v>29</v>
      </c>
      <c r="B31" s="1" t="s">
        <v>42</v>
      </c>
      <c r="C31" s="4"/>
      <c r="D31" s="53" t="s">
        <v>5</v>
      </c>
      <c r="E31" s="73"/>
      <c r="F31" s="74"/>
      <c r="G31" s="16"/>
      <c r="H31" s="1"/>
      <c r="I31" s="1"/>
      <c r="J31" s="19"/>
    </row>
    <row r="32" spans="1:10" x14ac:dyDescent="0.25">
      <c r="A32" s="1">
        <f t="shared" si="0"/>
        <v>30</v>
      </c>
      <c r="B32" s="1" t="s">
        <v>43</v>
      </c>
      <c r="C32" s="4"/>
      <c r="D32" s="53" t="s">
        <v>5</v>
      </c>
      <c r="E32" s="73"/>
      <c r="F32" s="74"/>
      <c r="G32" s="16"/>
      <c r="H32" s="1"/>
      <c r="I32" s="1"/>
      <c r="J32" s="19"/>
    </row>
    <row r="33" spans="1:10" x14ac:dyDescent="0.25">
      <c r="A33" s="1">
        <f t="shared" si="0"/>
        <v>31</v>
      </c>
      <c r="B33" s="1" t="s">
        <v>44</v>
      </c>
      <c r="C33" s="4"/>
      <c r="D33" s="53" t="s">
        <v>5</v>
      </c>
      <c r="E33" s="73"/>
      <c r="F33" s="74"/>
      <c r="G33" s="16"/>
      <c r="H33" s="1"/>
      <c r="I33" s="1"/>
      <c r="J33" s="19"/>
    </row>
    <row r="34" spans="1:10" x14ac:dyDescent="0.25">
      <c r="A34" s="1">
        <f t="shared" si="0"/>
        <v>32</v>
      </c>
      <c r="B34" s="1" t="s">
        <v>45</v>
      </c>
      <c r="C34" s="4"/>
      <c r="D34" s="53" t="s">
        <v>5</v>
      </c>
      <c r="E34" s="73"/>
      <c r="F34" s="74"/>
      <c r="G34" s="16"/>
      <c r="H34" s="1"/>
      <c r="I34" s="1"/>
      <c r="J34" s="19"/>
    </row>
    <row r="35" spans="1:10" x14ac:dyDescent="0.25">
      <c r="A35" s="1">
        <f t="shared" si="0"/>
        <v>33</v>
      </c>
      <c r="B35" s="1" t="s">
        <v>46</v>
      </c>
      <c r="C35" s="4"/>
      <c r="D35" s="53" t="s">
        <v>5</v>
      </c>
      <c r="E35" s="73"/>
      <c r="F35" s="74"/>
      <c r="G35" s="16"/>
      <c r="H35" s="1"/>
      <c r="I35" s="1"/>
      <c r="J35" s="19"/>
    </row>
    <row r="36" spans="1:10" x14ac:dyDescent="0.25">
      <c r="A36" s="1">
        <f t="shared" si="0"/>
        <v>34</v>
      </c>
      <c r="B36" s="1" t="s">
        <v>47</v>
      </c>
      <c r="C36" s="4"/>
      <c r="D36" s="53" t="s">
        <v>5</v>
      </c>
      <c r="E36" s="73"/>
      <c r="F36" s="74"/>
      <c r="G36" s="16"/>
      <c r="H36" s="1"/>
      <c r="I36" s="1"/>
      <c r="J36" s="19"/>
    </row>
    <row r="37" spans="1:10" x14ac:dyDescent="0.25">
      <c r="A37" s="1">
        <f t="shared" si="0"/>
        <v>35</v>
      </c>
      <c r="B37" s="1" t="s">
        <v>48</v>
      </c>
      <c r="C37" s="4"/>
      <c r="D37" s="53" t="s">
        <v>5</v>
      </c>
      <c r="E37" s="73"/>
      <c r="F37" s="74"/>
      <c r="G37" s="16"/>
      <c r="H37" s="1"/>
      <c r="I37" s="1"/>
      <c r="J37" s="19"/>
    </row>
    <row r="38" spans="1:10" x14ac:dyDescent="0.25">
      <c r="A38" s="1">
        <f t="shared" si="0"/>
        <v>36</v>
      </c>
      <c r="B38" s="1" t="s">
        <v>49</v>
      </c>
      <c r="C38" s="4"/>
      <c r="D38" s="53" t="s">
        <v>5</v>
      </c>
      <c r="E38" s="73"/>
      <c r="F38" s="74"/>
      <c r="G38" s="16"/>
      <c r="H38" s="1"/>
      <c r="I38" s="1"/>
      <c r="J38" s="19"/>
    </row>
    <row r="39" spans="1:10" x14ac:dyDescent="0.25">
      <c r="A39" s="1">
        <f t="shared" si="0"/>
        <v>37</v>
      </c>
      <c r="B39" s="1" t="s">
        <v>50</v>
      </c>
      <c r="C39" s="4"/>
      <c r="D39" s="53" t="s">
        <v>5</v>
      </c>
      <c r="E39" s="73"/>
      <c r="F39" s="74"/>
      <c r="G39" s="16"/>
      <c r="H39" s="1"/>
      <c r="I39" s="1"/>
      <c r="J39" s="19"/>
    </row>
    <row r="40" spans="1:10" x14ac:dyDescent="0.25">
      <c r="A40" s="1">
        <f t="shared" si="0"/>
        <v>38</v>
      </c>
      <c r="B40" s="3" t="s">
        <v>51</v>
      </c>
      <c r="C40" s="5"/>
      <c r="D40" s="54" t="s">
        <v>5</v>
      </c>
      <c r="E40" s="73"/>
      <c r="F40" s="74"/>
      <c r="G40" s="16"/>
      <c r="H40" s="1"/>
      <c r="I40" s="1"/>
      <c r="J40" s="19"/>
    </row>
    <row r="41" spans="1:10" x14ac:dyDescent="0.25">
      <c r="A41" s="1">
        <f t="shared" si="0"/>
        <v>39</v>
      </c>
      <c r="B41" s="1" t="s">
        <v>52</v>
      </c>
      <c r="C41" s="4"/>
      <c r="D41" s="53" t="s">
        <v>5</v>
      </c>
      <c r="E41" s="73"/>
      <c r="F41" s="74"/>
      <c r="G41" s="16"/>
      <c r="H41" s="1"/>
      <c r="I41" s="1"/>
      <c r="J41" s="19"/>
    </row>
    <row r="42" spans="1:10" x14ac:dyDescent="0.25">
      <c r="A42" s="1">
        <f t="shared" si="0"/>
        <v>40</v>
      </c>
      <c r="B42" s="1" t="s">
        <v>53</v>
      </c>
      <c r="C42" s="4"/>
      <c r="D42" s="53" t="s">
        <v>5</v>
      </c>
      <c r="E42" s="73"/>
      <c r="F42" s="74"/>
      <c r="G42" s="16"/>
      <c r="H42" s="1"/>
      <c r="I42" s="1"/>
      <c r="J42" s="19"/>
    </row>
    <row r="43" spans="1:10" x14ac:dyDescent="0.25">
      <c r="A43" s="1">
        <f t="shared" si="0"/>
        <v>41</v>
      </c>
      <c r="B43" s="1" t="s">
        <v>54</v>
      </c>
      <c r="C43" s="4"/>
      <c r="D43" s="53" t="s">
        <v>5</v>
      </c>
      <c r="E43" s="73"/>
      <c r="F43" s="74"/>
      <c r="G43" s="16"/>
      <c r="H43" s="1"/>
      <c r="I43" s="1"/>
      <c r="J43" s="19"/>
    </row>
    <row r="44" spans="1:10" x14ac:dyDescent="0.25">
      <c r="A44" s="1">
        <f t="shared" si="0"/>
        <v>42</v>
      </c>
      <c r="B44" s="1" t="s">
        <v>55</v>
      </c>
      <c r="C44" s="4"/>
      <c r="D44" s="53" t="s">
        <v>5</v>
      </c>
      <c r="E44" s="73"/>
      <c r="F44" s="74"/>
      <c r="G44" s="16"/>
      <c r="H44" s="1"/>
      <c r="I44" s="1"/>
      <c r="J44" s="19"/>
    </row>
    <row r="45" spans="1:10" x14ac:dyDescent="0.25">
      <c r="A45" s="1">
        <f t="shared" si="0"/>
        <v>43</v>
      </c>
      <c r="B45" s="1" t="s">
        <v>56</v>
      </c>
      <c r="C45" s="4"/>
      <c r="D45" s="53" t="s">
        <v>5</v>
      </c>
      <c r="E45" s="73"/>
      <c r="F45" s="74"/>
      <c r="G45" s="16"/>
      <c r="H45" s="1"/>
      <c r="I45" s="1"/>
      <c r="J45" s="19"/>
    </row>
    <row r="46" spans="1:10" x14ac:dyDescent="0.25">
      <c r="A46" s="1">
        <f t="shared" si="0"/>
        <v>44</v>
      </c>
      <c r="B46" s="1" t="s">
        <v>57</v>
      </c>
      <c r="C46" s="4"/>
      <c r="D46" s="53" t="s">
        <v>5</v>
      </c>
      <c r="E46" s="73"/>
      <c r="F46" s="74"/>
      <c r="G46" s="16"/>
      <c r="H46" s="1"/>
      <c r="I46" s="1"/>
      <c r="J46" s="19"/>
    </row>
    <row r="47" spans="1:10" x14ac:dyDescent="0.25">
      <c r="A47" s="1">
        <f t="shared" si="0"/>
        <v>45</v>
      </c>
      <c r="B47" s="1" t="s">
        <v>58</v>
      </c>
      <c r="C47" s="4"/>
      <c r="D47" s="53" t="s">
        <v>5</v>
      </c>
      <c r="E47" s="73"/>
      <c r="F47" s="74"/>
      <c r="G47" s="16"/>
      <c r="H47" s="1"/>
      <c r="I47" s="1"/>
      <c r="J47" s="19"/>
    </row>
    <row r="48" spans="1:10" x14ac:dyDescent="0.25">
      <c r="A48" s="1">
        <f t="shared" si="0"/>
        <v>46</v>
      </c>
      <c r="B48" s="1" t="s">
        <v>59</v>
      </c>
      <c r="C48" s="4"/>
      <c r="D48" s="53" t="s">
        <v>5</v>
      </c>
      <c r="E48" s="73"/>
      <c r="F48" s="74"/>
      <c r="G48" s="16"/>
      <c r="H48" s="1"/>
      <c r="I48" s="1"/>
      <c r="J48" s="19"/>
    </row>
    <row r="49" spans="1:10" x14ac:dyDescent="0.25">
      <c r="A49" s="1">
        <f t="shared" si="0"/>
        <v>47</v>
      </c>
      <c r="B49" s="1" t="s">
        <v>40</v>
      </c>
      <c r="C49" s="4"/>
      <c r="D49" s="53" t="s">
        <v>5</v>
      </c>
      <c r="E49" s="73"/>
      <c r="F49" s="74"/>
      <c r="G49" s="16"/>
      <c r="H49" s="1"/>
      <c r="I49" s="1"/>
      <c r="J49" s="19"/>
    </row>
    <row r="50" spans="1:10" x14ac:dyDescent="0.25">
      <c r="A50" s="1">
        <f t="shared" si="0"/>
        <v>48</v>
      </c>
      <c r="B50" s="1" t="s">
        <v>60</v>
      </c>
      <c r="C50" s="4"/>
      <c r="D50" s="53" t="s">
        <v>5</v>
      </c>
      <c r="E50" s="73"/>
      <c r="F50" s="74"/>
      <c r="G50" s="16"/>
      <c r="H50" s="1"/>
      <c r="I50" s="1"/>
      <c r="J50" s="19"/>
    </row>
    <row r="51" spans="1:10" x14ac:dyDescent="0.25">
      <c r="A51" s="1">
        <f t="shared" si="0"/>
        <v>49</v>
      </c>
      <c r="B51" s="1" t="s">
        <v>61</v>
      </c>
      <c r="C51" s="4"/>
      <c r="D51" s="53" t="s">
        <v>5</v>
      </c>
      <c r="E51" s="73"/>
      <c r="F51" s="74"/>
      <c r="G51" s="16"/>
      <c r="H51" s="1"/>
      <c r="I51" s="1"/>
      <c r="J51" s="19"/>
    </row>
    <row r="52" spans="1:10" x14ac:dyDescent="0.25">
      <c r="A52" s="1">
        <f t="shared" si="0"/>
        <v>50</v>
      </c>
      <c r="B52" s="3" t="s">
        <v>62</v>
      </c>
      <c r="C52" s="5"/>
      <c r="D52" s="54" t="s">
        <v>5</v>
      </c>
      <c r="E52" s="73"/>
      <c r="F52" s="74"/>
      <c r="G52" s="16"/>
      <c r="H52" s="1"/>
      <c r="I52" s="1"/>
      <c r="J52" s="19"/>
    </row>
    <row r="53" spans="1:10" x14ac:dyDescent="0.25">
      <c r="A53" s="1">
        <f t="shared" si="0"/>
        <v>51</v>
      </c>
      <c r="B53" s="1" t="s">
        <v>63</v>
      </c>
      <c r="C53" s="4"/>
      <c r="D53" s="53" t="s">
        <v>5</v>
      </c>
      <c r="E53" s="73"/>
      <c r="F53" s="74"/>
      <c r="G53" s="16"/>
      <c r="H53" s="1"/>
      <c r="I53" s="1"/>
      <c r="J53" s="19"/>
    </row>
    <row r="54" spans="1:10" x14ac:dyDescent="0.25">
      <c r="A54" s="1">
        <f t="shared" si="0"/>
        <v>52</v>
      </c>
      <c r="B54" s="1" t="s">
        <v>64</v>
      </c>
      <c r="C54" s="4"/>
      <c r="D54" s="53" t="s">
        <v>5</v>
      </c>
      <c r="E54" s="73"/>
      <c r="F54" s="74"/>
      <c r="G54" s="16"/>
      <c r="H54" s="1"/>
      <c r="I54" s="1"/>
      <c r="J54" s="19"/>
    </row>
    <row r="55" spans="1:10" x14ac:dyDescent="0.25">
      <c r="A55" s="1">
        <f t="shared" si="0"/>
        <v>53</v>
      </c>
      <c r="B55" s="1" t="s">
        <v>65</v>
      </c>
      <c r="C55" s="4"/>
      <c r="D55" s="53" t="s">
        <v>5</v>
      </c>
      <c r="E55" s="73"/>
      <c r="F55" s="74"/>
      <c r="G55" s="16"/>
      <c r="H55" s="1"/>
      <c r="I55" s="1"/>
      <c r="J55" s="19"/>
    </row>
    <row r="56" spans="1:10" x14ac:dyDescent="0.25">
      <c r="A56" s="1">
        <f t="shared" si="0"/>
        <v>54</v>
      </c>
      <c r="B56" s="1" t="s">
        <v>66</v>
      </c>
      <c r="C56" s="4"/>
      <c r="D56" s="53" t="s">
        <v>5</v>
      </c>
      <c r="E56" s="73"/>
      <c r="F56" s="74"/>
      <c r="G56" s="16"/>
      <c r="H56" s="1"/>
      <c r="I56" s="1"/>
      <c r="J56" s="19"/>
    </row>
    <row r="57" spans="1:10" x14ac:dyDescent="0.25">
      <c r="A57" s="1">
        <f t="shared" si="0"/>
        <v>55</v>
      </c>
      <c r="B57" s="1" t="s">
        <v>67</v>
      </c>
      <c r="C57" s="4"/>
      <c r="D57" s="53" t="s">
        <v>5</v>
      </c>
      <c r="E57" s="73"/>
      <c r="F57" s="74"/>
      <c r="G57" s="16"/>
      <c r="H57" s="1"/>
      <c r="I57" s="1"/>
      <c r="J57" s="19"/>
    </row>
    <row r="58" spans="1:10" x14ac:dyDescent="0.25">
      <c r="A58" s="1">
        <f t="shared" si="0"/>
        <v>56</v>
      </c>
      <c r="B58" s="1" t="s">
        <v>68</v>
      </c>
      <c r="C58" s="4"/>
      <c r="D58" s="53" t="s">
        <v>5</v>
      </c>
      <c r="E58" s="73"/>
      <c r="F58" s="74"/>
      <c r="G58" s="16"/>
      <c r="H58" s="1"/>
      <c r="I58" s="1"/>
      <c r="J58" s="19"/>
    </row>
    <row r="59" spans="1:10" x14ac:dyDescent="0.25">
      <c r="A59" s="1">
        <f t="shared" si="0"/>
        <v>57</v>
      </c>
      <c r="B59" s="1" t="s">
        <v>69</v>
      </c>
      <c r="C59" s="4"/>
      <c r="D59" s="53" t="s">
        <v>5</v>
      </c>
      <c r="E59" s="73"/>
      <c r="F59" s="74"/>
      <c r="G59" s="16"/>
      <c r="H59" s="1"/>
      <c r="I59" s="1"/>
      <c r="J59" s="19"/>
    </row>
    <row r="60" spans="1:10" x14ac:dyDescent="0.25">
      <c r="A60" s="1">
        <f t="shared" si="0"/>
        <v>58</v>
      </c>
      <c r="B60" s="1" t="s">
        <v>70</v>
      </c>
      <c r="C60" s="4" t="s">
        <v>90</v>
      </c>
      <c r="D60" s="53" t="s">
        <v>5</v>
      </c>
      <c r="E60" s="73"/>
      <c r="F60" s="74"/>
      <c r="G60" s="16"/>
      <c r="H60" s="1"/>
      <c r="I60" s="1"/>
      <c r="J60" s="19"/>
    </row>
    <row r="61" spans="1:10" x14ac:dyDescent="0.25">
      <c r="A61" s="1">
        <f t="shared" si="0"/>
        <v>59</v>
      </c>
      <c r="B61" s="1" t="s">
        <v>71</v>
      </c>
      <c r="C61" s="4" t="s">
        <v>89</v>
      </c>
      <c r="D61" s="53" t="s">
        <v>5</v>
      </c>
      <c r="E61" s="73"/>
      <c r="F61" s="74"/>
      <c r="G61" s="16"/>
      <c r="H61" s="1"/>
      <c r="I61" s="1"/>
      <c r="J61" s="19"/>
    </row>
    <row r="62" spans="1:10" x14ac:dyDescent="0.25">
      <c r="A62" s="1">
        <f t="shared" si="0"/>
        <v>60</v>
      </c>
      <c r="B62" s="1" t="s">
        <v>72</v>
      </c>
      <c r="C62" s="4" t="s">
        <v>88</v>
      </c>
      <c r="D62" s="53" t="s">
        <v>5</v>
      </c>
      <c r="E62" s="73"/>
      <c r="F62" s="74"/>
      <c r="G62" s="16"/>
      <c r="H62" s="1"/>
      <c r="I62" s="1"/>
      <c r="J62" s="19"/>
    </row>
    <row r="63" spans="1:10" x14ac:dyDescent="0.25">
      <c r="A63" s="1">
        <f t="shared" si="0"/>
        <v>61</v>
      </c>
      <c r="B63" s="1" t="s">
        <v>73</v>
      </c>
      <c r="C63" s="4" t="s">
        <v>87</v>
      </c>
      <c r="D63" s="53" t="s">
        <v>5</v>
      </c>
      <c r="E63" s="73"/>
      <c r="F63" s="74"/>
      <c r="G63" s="16"/>
      <c r="H63" s="1"/>
      <c r="I63" s="1"/>
      <c r="J63" s="19"/>
    </row>
    <row r="64" spans="1:10" x14ac:dyDescent="0.25">
      <c r="A64" s="1">
        <f t="shared" si="0"/>
        <v>62</v>
      </c>
      <c r="B64" s="1" t="s">
        <v>74</v>
      </c>
      <c r="C64" s="4" t="s">
        <v>86</v>
      </c>
      <c r="D64" s="53" t="s">
        <v>5</v>
      </c>
      <c r="E64" s="73"/>
      <c r="F64" s="74"/>
      <c r="G64" s="16"/>
      <c r="H64" s="1"/>
      <c r="I64" s="1"/>
      <c r="J64" s="19"/>
    </row>
    <row r="65" spans="1:10" x14ac:dyDescent="0.25">
      <c r="A65" s="1">
        <f t="shared" si="0"/>
        <v>63</v>
      </c>
      <c r="B65" s="1" t="s">
        <v>84</v>
      </c>
      <c r="C65" s="4" t="s">
        <v>85</v>
      </c>
      <c r="D65" s="53" t="s">
        <v>5</v>
      </c>
      <c r="E65" s="73"/>
      <c r="F65" s="74"/>
      <c r="G65" s="16"/>
      <c r="H65" s="1"/>
      <c r="I65" s="1"/>
      <c r="J65" s="19"/>
    </row>
    <row r="66" spans="1:10" x14ac:dyDescent="0.25">
      <c r="A66" s="1">
        <f t="shared" si="0"/>
        <v>64</v>
      </c>
      <c r="B66" s="1" t="s">
        <v>75</v>
      </c>
      <c r="C66" s="4" t="s">
        <v>83</v>
      </c>
      <c r="D66" s="53" t="s">
        <v>5</v>
      </c>
      <c r="E66" s="73"/>
      <c r="F66" s="74"/>
      <c r="G66" s="16"/>
      <c r="H66" s="1"/>
      <c r="I66" s="1"/>
      <c r="J66" s="19"/>
    </row>
    <row r="67" spans="1:10" x14ac:dyDescent="0.25">
      <c r="A67" s="1">
        <f t="shared" si="0"/>
        <v>65</v>
      </c>
      <c r="B67" s="1" t="s">
        <v>76</v>
      </c>
      <c r="C67" s="4" t="s">
        <v>82</v>
      </c>
      <c r="D67" s="53" t="s">
        <v>5</v>
      </c>
      <c r="E67" s="73"/>
      <c r="F67" s="74"/>
      <c r="G67" s="16"/>
      <c r="H67" s="1"/>
      <c r="I67" s="1"/>
      <c r="J67" s="19"/>
    </row>
    <row r="68" spans="1:10" x14ac:dyDescent="0.25">
      <c r="A68" s="1">
        <f t="shared" si="0"/>
        <v>66</v>
      </c>
      <c r="B68" s="1" t="s">
        <v>77</v>
      </c>
      <c r="C68" s="4" t="s">
        <v>6</v>
      </c>
      <c r="D68" s="53" t="s">
        <v>5</v>
      </c>
      <c r="E68" s="73"/>
      <c r="F68" s="74"/>
      <c r="G68" s="16"/>
      <c r="H68" s="1"/>
      <c r="I68" s="1"/>
      <c r="J68" s="19"/>
    </row>
    <row r="69" spans="1:10" x14ac:dyDescent="0.25">
      <c r="A69" s="1">
        <f>A68+1</f>
        <v>67</v>
      </c>
      <c r="B69" s="1" t="s">
        <v>78</v>
      </c>
      <c r="C69" s="4" t="s">
        <v>79</v>
      </c>
      <c r="D69" s="53" t="s">
        <v>5</v>
      </c>
      <c r="E69" s="73"/>
      <c r="F69" s="74"/>
      <c r="G69" s="16"/>
      <c r="H69" s="1"/>
      <c r="I69" s="1"/>
      <c r="J69" s="19"/>
    </row>
    <row r="70" spans="1:10" x14ac:dyDescent="0.25">
      <c r="A70" s="1">
        <f>A69+1</f>
        <v>68</v>
      </c>
      <c r="B70" s="1" t="s">
        <v>80</v>
      </c>
      <c r="C70" s="4" t="s">
        <v>81</v>
      </c>
      <c r="D70" s="53" t="s">
        <v>5</v>
      </c>
      <c r="E70" s="73"/>
      <c r="F70" s="74"/>
      <c r="G70" s="16"/>
      <c r="H70" s="1"/>
      <c r="I70" s="1"/>
      <c r="J70" s="19"/>
    </row>
    <row r="71" spans="1:10" x14ac:dyDescent="0.25">
      <c r="A71" s="1">
        <f>A204+1</f>
        <v>70</v>
      </c>
      <c r="B71" s="1"/>
      <c r="C71" s="4"/>
      <c r="D71" s="53" t="s">
        <v>5</v>
      </c>
      <c r="E71" s="73"/>
      <c r="F71" s="74"/>
      <c r="G71" s="16"/>
      <c r="H71" s="1"/>
      <c r="I71" s="1"/>
      <c r="J71" s="19"/>
    </row>
    <row r="72" spans="1:10" ht="15.75" thickBot="1" x14ac:dyDescent="0.3">
      <c r="A72" s="13">
        <f>A71+1</f>
        <v>71</v>
      </c>
      <c r="B72" s="8"/>
      <c r="C72" s="2"/>
      <c r="D72" s="55" t="s">
        <v>5</v>
      </c>
      <c r="E72" s="73"/>
      <c r="F72" s="75"/>
      <c r="G72" s="61"/>
      <c r="H72" s="13"/>
      <c r="I72" s="13"/>
      <c r="J72" s="24"/>
    </row>
    <row r="73" spans="1:10" ht="15.75" thickBot="1" x14ac:dyDescent="0.3">
      <c r="A73" s="64" t="s">
        <v>3</v>
      </c>
      <c r="B73" s="63" t="s">
        <v>0</v>
      </c>
      <c r="C73" s="65" t="s">
        <v>1</v>
      </c>
      <c r="D73" s="14" t="s">
        <v>2</v>
      </c>
      <c r="E73" s="76"/>
      <c r="F73" s="77"/>
      <c r="G73" s="11"/>
      <c r="H73" s="66"/>
      <c r="I73" s="66"/>
      <c r="J73" s="67"/>
    </row>
    <row r="74" spans="1:10" x14ac:dyDescent="0.25">
      <c r="A74" s="3">
        <v>1</v>
      </c>
      <c r="B74" s="56" t="s">
        <v>102</v>
      </c>
      <c r="C74" s="57" t="s">
        <v>103</v>
      </c>
      <c r="D74" s="54" t="s">
        <v>334</v>
      </c>
      <c r="E74" s="73"/>
      <c r="F74" s="78"/>
      <c r="G74" s="62"/>
      <c r="H74" s="3"/>
      <c r="I74" s="3"/>
      <c r="J74" s="23"/>
    </row>
    <row r="75" spans="1:10" x14ac:dyDescent="0.25">
      <c r="A75" s="1">
        <f t="shared" ref="A75:A138" si="1">A74+1</f>
        <v>2</v>
      </c>
      <c r="B75" s="31" t="s">
        <v>104</v>
      </c>
      <c r="C75" s="58"/>
      <c r="D75" s="53" t="s">
        <v>334</v>
      </c>
      <c r="E75" s="73"/>
      <c r="F75" s="74"/>
      <c r="G75" s="16"/>
      <c r="H75" s="1"/>
      <c r="I75" s="1"/>
      <c r="J75" s="19"/>
    </row>
    <row r="76" spans="1:10" x14ac:dyDescent="0.25">
      <c r="A76" s="1">
        <f t="shared" si="1"/>
        <v>3</v>
      </c>
      <c r="B76" s="31" t="s">
        <v>105</v>
      </c>
      <c r="C76" s="58" t="s">
        <v>106</v>
      </c>
      <c r="D76" s="53" t="s">
        <v>335</v>
      </c>
      <c r="E76" s="73"/>
      <c r="F76" s="74"/>
      <c r="G76" s="16"/>
      <c r="H76" s="1"/>
      <c r="I76" s="1"/>
      <c r="J76" s="19"/>
    </row>
    <row r="77" spans="1:10" x14ac:dyDescent="0.25">
      <c r="A77" s="1">
        <f t="shared" si="1"/>
        <v>4</v>
      </c>
      <c r="B77" s="31" t="s">
        <v>107</v>
      </c>
      <c r="C77" s="58"/>
      <c r="D77" s="53" t="s">
        <v>335</v>
      </c>
      <c r="E77" s="73"/>
      <c r="F77" s="74"/>
      <c r="G77" s="16"/>
      <c r="H77" s="1"/>
      <c r="I77" s="1"/>
      <c r="J77" s="19"/>
    </row>
    <row r="78" spans="1:10" x14ac:dyDescent="0.25">
      <c r="A78" s="1">
        <f t="shared" si="1"/>
        <v>5</v>
      </c>
      <c r="B78" s="31" t="s">
        <v>108</v>
      </c>
      <c r="C78" s="58" t="s">
        <v>111</v>
      </c>
      <c r="D78" s="53" t="s">
        <v>334</v>
      </c>
      <c r="E78" s="73"/>
      <c r="F78" s="74"/>
      <c r="G78" s="16"/>
      <c r="H78" s="1"/>
      <c r="I78" s="1"/>
      <c r="J78" s="19"/>
    </row>
    <row r="79" spans="1:10" x14ac:dyDescent="0.25">
      <c r="A79" s="1">
        <f t="shared" si="1"/>
        <v>6</v>
      </c>
      <c r="B79" s="31" t="s">
        <v>109</v>
      </c>
      <c r="C79" s="58" t="s">
        <v>110</v>
      </c>
      <c r="D79" s="53" t="s">
        <v>334</v>
      </c>
      <c r="E79" s="73"/>
      <c r="F79" s="74"/>
      <c r="G79" s="16"/>
      <c r="H79" s="1"/>
      <c r="I79" s="1"/>
      <c r="J79" s="19"/>
    </row>
    <row r="80" spans="1:10" x14ac:dyDescent="0.25">
      <c r="A80" s="1">
        <f t="shared" si="1"/>
        <v>7</v>
      </c>
      <c r="B80" s="31" t="s">
        <v>112</v>
      </c>
      <c r="C80" s="58" t="s">
        <v>113</v>
      </c>
      <c r="D80" s="53" t="s">
        <v>335</v>
      </c>
      <c r="E80" s="73"/>
      <c r="F80" s="74"/>
      <c r="G80" s="16"/>
      <c r="H80" s="1"/>
      <c r="I80" s="1"/>
      <c r="J80" s="19"/>
    </row>
    <row r="81" spans="1:10" x14ac:dyDescent="0.25">
      <c r="A81" s="1">
        <f t="shared" si="1"/>
        <v>8</v>
      </c>
      <c r="B81" s="31" t="s">
        <v>114</v>
      </c>
      <c r="C81" s="58" t="s">
        <v>115</v>
      </c>
      <c r="D81" s="53" t="s">
        <v>335</v>
      </c>
      <c r="E81" s="73"/>
      <c r="F81" s="74"/>
      <c r="G81" s="16"/>
      <c r="H81" s="1"/>
      <c r="I81" s="1"/>
      <c r="J81" s="19"/>
    </row>
    <row r="82" spans="1:10" x14ac:dyDescent="0.25">
      <c r="A82" s="1">
        <f t="shared" si="1"/>
        <v>9</v>
      </c>
      <c r="B82" s="31" t="s">
        <v>116</v>
      </c>
      <c r="C82" s="58" t="s">
        <v>106</v>
      </c>
      <c r="D82" s="53" t="s">
        <v>334</v>
      </c>
      <c r="E82" s="73"/>
      <c r="F82" s="74"/>
      <c r="G82" s="16"/>
      <c r="H82" s="1"/>
      <c r="I82" s="1"/>
      <c r="J82" s="19"/>
    </row>
    <row r="83" spans="1:10" x14ac:dyDescent="0.25">
      <c r="A83" s="1">
        <f t="shared" si="1"/>
        <v>10</v>
      </c>
      <c r="B83" s="31" t="s">
        <v>117</v>
      </c>
      <c r="C83" s="58" t="s">
        <v>118</v>
      </c>
      <c r="D83" s="53" t="s">
        <v>335</v>
      </c>
      <c r="E83" s="73"/>
      <c r="F83" s="74"/>
      <c r="G83" s="16"/>
      <c r="H83" s="1"/>
      <c r="I83" s="1"/>
      <c r="J83" s="19"/>
    </row>
    <row r="84" spans="1:10" x14ac:dyDescent="0.25">
      <c r="A84" s="1">
        <f t="shared" si="1"/>
        <v>11</v>
      </c>
      <c r="B84" s="31" t="s">
        <v>119</v>
      </c>
      <c r="C84" s="58" t="s">
        <v>120</v>
      </c>
      <c r="D84" s="53" t="s">
        <v>335</v>
      </c>
      <c r="E84" s="73"/>
      <c r="F84" s="74"/>
      <c r="G84" s="16"/>
      <c r="H84" s="1"/>
      <c r="I84" s="1"/>
      <c r="J84" s="19"/>
    </row>
    <row r="85" spans="1:10" x14ac:dyDescent="0.25">
      <c r="A85" s="1">
        <f t="shared" si="1"/>
        <v>12</v>
      </c>
      <c r="B85" s="31" t="s">
        <v>121</v>
      </c>
      <c r="C85" s="58" t="s">
        <v>122</v>
      </c>
      <c r="D85" s="53" t="s">
        <v>335</v>
      </c>
      <c r="E85" s="73"/>
      <c r="F85" s="74"/>
      <c r="G85" s="16"/>
      <c r="H85" s="1"/>
      <c r="I85" s="1"/>
      <c r="J85" s="19"/>
    </row>
    <row r="86" spans="1:10" x14ac:dyDescent="0.25">
      <c r="A86" s="1">
        <f t="shared" si="1"/>
        <v>13</v>
      </c>
      <c r="B86" s="31" t="s">
        <v>123</v>
      </c>
      <c r="C86" s="58" t="s">
        <v>124</v>
      </c>
      <c r="D86" s="53" t="s">
        <v>335</v>
      </c>
      <c r="E86" s="73"/>
      <c r="F86" s="74"/>
      <c r="G86" s="16"/>
      <c r="H86" s="1"/>
      <c r="I86" s="1"/>
      <c r="J86" s="19"/>
    </row>
    <row r="87" spans="1:10" x14ac:dyDescent="0.25">
      <c r="A87" s="1">
        <f t="shared" si="1"/>
        <v>14</v>
      </c>
      <c r="B87" s="31" t="s">
        <v>125</v>
      </c>
      <c r="C87" s="58" t="s">
        <v>126</v>
      </c>
      <c r="D87" s="53" t="s">
        <v>335</v>
      </c>
      <c r="E87" s="73"/>
      <c r="F87" s="74"/>
      <c r="G87" s="16"/>
      <c r="H87" s="1"/>
      <c r="I87" s="1"/>
      <c r="J87" s="19"/>
    </row>
    <row r="88" spans="1:10" x14ac:dyDescent="0.25">
      <c r="A88" s="1">
        <f t="shared" si="1"/>
        <v>15</v>
      </c>
      <c r="B88" s="31" t="s">
        <v>127</v>
      </c>
      <c r="C88" s="58" t="s">
        <v>128</v>
      </c>
      <c r="D88" s="53" t="s">
        <v>335</v>
      </c>
      <c r="E88" s="73"/>
      <c r="F88" s="74"/>
      <c r="G88" s="16"/>
      <c r="H88" s="1"/>
      <c r="I88" s="1"/>
      <c r="J88" s="19"/>
    </row>
    <row r="89" spans="1:10" x14ac:dyDescent="0.25">
      <c r="A89" s="1">
        <f t="shared" si="1"/>
        <v>16</v>
      </c>
      <c r="B89" s="31" t="s">
        <v>129</v>
      </c>
      <c r="C89" s="58" t="s">
        <v>130</v>
      </c>
      <c r="D89" s="53" t="s">
        <v>335</v>
      </c>
      <c r="E89" s="73"/>
      <c r="F89" s="74"/>
      <c r="G89" s="16"/>
      <c r="H89" s="1"/>
      <c r="I89" s="1"/>
      <c r="J89" s="19"/>
    </row>
    <row r="90" spans="1:10" x14ac:dyDescent="0.25">
      <c r="A90" s="1">
        <f t="shared" si="1"/>
        <v>17</v>
      </c>
      <c r="B90" s="31" t="s">
        <v>131</v>
      </c>
      <c r="C90" s="58" t="s">
        <v>132</v>
      </c>
      <c r="D90" s="53" t="s">
        <v>335</v>
      </c>
      <c r="E90" s="73"/>
      <c r="F90" s="74"/>
      <c r="G90" s="16"/>
      <c r="H90" s="1"/>
      <c r="I90" s="1"/>
      <c r="J90" s="19"/>
    </row>
    <row r="91" spans="1:10" x14ac:dyDescent="0.25">
      <c r="A91" s="1">
        <f t="shared" si="1"/>
        <v>18</v>
      </c>
      <c r="B91" s="31" t="s">
        <v>133</v>
      </c>
      <c r="C91" s="58" t="s">
        <v>134</v>
      </c>
      <c r="D91" s="53" t="s">
        <v>335</v>
      </c>
      <c r="E91" s="73"/>
      <c r="F91" s="74"/>
      <c r="G91" s="16"/>
      <c r="H91" s="1"/>
      <c r="I91" s="1"/>
      <c r="J91" s="19"/>
    </row>
    <row r="92" spans="1:10" x14ac:dyDescent="0.25">
      <c r="A92" s="1">
        <f t="shared" si="1"/>
        <v>19</v>
      </c>
      <c r="B92" s="31" t="s">
        <v>135</v>
      </c>
      <c r="C92" s="58" t="s">
        <v>136</v>
      </c>
      <c r="D92" s="53" t="s">
        <v>335</v>
      </c>
      <c r="E92" s="73"/>
      <c r="F92" s="74"/>
      <c r="G92" s="16"/>
      <c r="H92" s="1"/>
      <c r="I92" s="1"/>
      <c r="J92" s="19"/>
    </row>
    <row r="93" spans="1:10" x14ac:dyDescent="0.25">
      <c r="A93" s="1">
        <f t="shared" si="1"/>
        <v>20</v>
      </c>
      <c r="B93" s="31" t="s">
        <v>137</v>
      </c>
      <c r="C93" s="58" t="s">
        <v>138</v>
      </c>
      <c r="D93" s="53" t="s">
        <v>335</v>
      </c>
      <c r="E93" s="73"/>
      <c r="F93" s="74"/>
      <c r="G93" s="16"/>
      <c r="H93" s="1"/>
      <c r="I93" s="1"/>
      <c r="J93" s="19"/>
    </row>
    <row r="94" spans="1:10" x14ac:dyDescent="0.25">
      <c r="A94" s="1">
        <f t="shared" si="1"/>
        <v>21</v>
      </c>
      <c r="B94" s="31" t="s">
        <v>139</v>
      </c>
      <c r="C94" s="58" t="s">
        <v>140</v>
      </c>
      <c r="D94" s="53" t="s">
        <v>335</v>
      </c>
      <c r="E94" s="73"/>
      <c r="F94" s="74"/>
      <c r="G94" s="16"/>
      <c r="H94" s="1"/>
      <c r="I94" s="1"/>
      <c r="J94" s="19"/>
    </row>
    <row r="95" spans="1:10" x14ac:dyDescent="0.25">
      <c r="A95" s="1">
        <f t="shared" si="1"/>
        <v>22</v>
      </c>
      <c r="B95" s="31" t="s">
        <v>141</v>
      </c>
      <c r="C95" s="58" t="s">
        <v>142</v>
      </c>
      <c r="D95" s="53" t="s">
        <v>335</v>
      </c>
      <c r="E95" s="73"/>
      <c r="F95" s="74"/>
      <c r="G95" s="16"/>
      <c r="H95" s="1"/>
      <c r="I95" s="1"/>
      <c r="J95" s="19"/>
    </row>
    <row r="96" spans="1:10" x14ac:dyDescent="0.25">
      <c r="A96" s="1">
        <f t="shared" si="1"/>
        <v>23</v>
      </c>
      <c r="B96" s="31" t="s">
        <v>143</v>
      </c>
      <c r="C96" s="58" t="s">
        <v>144</v>
      </c>
      <c r="D96" s="53" t="s">
        <v>335</v>
      </c>
      <c r="E96" s="73"/>
      <c r="F96" s="74"/>
      <c r="G96" s="16"/>
      <c r="H96" s="1"/>
      <c r="I96" s="1"/>
      <c r="J96" s="19"/>
    </row>
    <row r="97" spans="1:10" x14ac:dyDescent="0.25">
      <c r="A97" s="1">
        <f t="shared" si="1"/>
        <v>24</v>
      </c>
      <c r="B97" s="31" t="s">
        <v>145</v>
      </c>
      <c r="C97" s="58" t="s">
        <v>146</v>
      </c>
      <c r="D97" s="53" t="s">
        <v>335</v>
      </c>
      <c r="E97" s="73"/>
      <c r="F97" s="74"/>
      <c r="G97" s="16"/>
      <c r="H97" s="1"/>
      <c r="I97" s="1"/>
      <c r="J97" s="19"/>
    </row>
    <row r="98" spans="1:10" x14ac:dyDescent="0.25">
      <c r="A98" s="1">
        <f t="shared" si="1"/>
        <v>25</v>
      </c>
      <c r="B98" s="31" t="s">
        <v>147</v>
      </c>
      <c r="C98" s="58" t="s">
        <v>148</v>
      </c>
      <c r="D98" s="53" t="s">
        <v>335</v>
      </c>
      <c r="E98" s="73"/>
      <c r="F98" s="74"/>
      <c r="G98" s="16"/>
      <c r="H98" s="1"/>
      <c r="I98" s="1"/>
      <c r="J98" s="19"/>
    </row>
    <row r="99" spans="1:10" x14ac:dyDescent="0.25">
      <c r="A99" s="1">
        <f t="shared" si="1"/>
        <v>26</v>
      </c>
      <c r="B99" s="31" t="s">
        <v>149</v>
      </c>
      <c r="C99" s="58" t="s">
        <v>150</v>
      </c>
      <c r="D99" s="53" t="s">
        <v>335</v>
      </c>
      <c r="E99" s="73"/>
      <c r="F99" s="74"/>
      <c r="G99" s="16"/>
      <c r="H99" s="1"/>
      <c r="I99" s="1"/>
      <c r="J99" s="19"/>
    </row>
    <row r="100" spans="1:10" x14ac:dyDescent="0.25">
      <c r="A100" s="1">
        <f t="shared" si="1"/>
        <v>27</v>
      </c>
      <c r="B100" s="31" t="s">
        <v>151</v>
      </c>
      <c r="C100" s="58" t="s">
        <v>152</v>
      </c>
      <c r="D100" s="53" t="s">
        <v>335</v>
      </c>
      <c r="E100" s="73"/>
      <c r="F100" s="74"/>
      <c r="G100" s="16"/>
      <c r="H100" s="1"/>
      <c r="I100" s="1"/>
      <c r="J100" s="19"/>
    </row>
    <row r="101" spans="1:10" x14ac:dyDescent="0.25">
      <c r="A101" s="1">
        <f t="shared" si="1"/>
        <v>28</v>
      </c>
      <c r="B101" s="31" t="s">
        <v>153</v>
      </c>
      <c r="C101" s="58" t="s">
        <v>154</v>
      </c>
      <c r="D101" s="53" t="s">
        <v>335</v>
      </c>
      <c r="E101" s="73"/>
      <c r="F101" s="74"/>
      <c r="G101" s="16"/>
      <c r="H101" s="1"/>
      <c r="I101" s="1"/>
      <c r="J101" s="19"/>
    </row>
    <row r="102" spans="1:10" x14ac:dyDescent="0.25">
      <c r="A102" s="1">
        <f t="shared" si="1"/>
        <v>29</v>
      </c>
      <c r="B102" s="31" t="s">
        <v>155</v>
      </c>
      <c r="C102" s="58" t="s">
        <v>156</v>
      </c>
      <c r="D102" s="53" t="s">
        <v>335</v>
      </c>
      <c r="E102" s="73"/>
      <c r="F102" s="74"/>
      <c r="G102" s="16"/>
      <c r="H102" s="1"/>
      <c r="I102" s="1"/>
      <c r="J102" s="19"/>
    </row>
    <row r="103" spans="1:10" x14ac:dyDescent="0.25">
      <c r="A103" s="1">
        <f t="shared" si="1"/>
        <v>30</v>
      </c>
      <c r="B103" s="31" t="s">
        <v>157</v>
      </c>
      <c r="C103" s="58" t="s">
        <v>158</v>
      </c>
      <c r="D103" s="53" t="s">
        <v>335</v>
      </c>
      <c r="E103" s="73"/>
      <c r="F103" s="74"/>
      <c r="G103" s="16"/>
      <c r="H103" s="1"/>
      <c r="I103" s="1"/>
      <c r="J103" s="19"/>
    </row>
    <row r="104" spans="1:10" x14ac:dyDescent="0.25">
      <c r="A104" s="1">
        <f t="shared" si="1"/>
        <v>31</v>
      </c>
      <c r="B104" s="31" t="s">
        <v>159</v>
      </c>
      <c r="C104" s="58" t="s">
        <v>160</v>
      </c>
      <c r="D104" s="53" t="s">
        <v>335</v>
      </c>
      <c r="E104" s="73"/>
      <c r="F104" s="74"/>
      <c r="G104" s="16"/>
      <c r="H104" s="1"/>
      <c r="I104" s="1"/>
      <c r="J104" s="19"/>
    </row>
    <row r="105" spans="1:10" x14ac:dyDescent="0.25">
      <c r="A105" s="1">
        <f t="shared" si="1"/>
        <v>32</v>
      </c>
      <c r="B105" s="56" t="s">
        <v>161</v>
      </c>
      <c r="C105" s="57" t="s">
        <v>162</v>
      </c>
      <c r="D105" s="53" t="s">
        <v>335</v>
      </c>
      <c r="E105" s="73"/>
      <c r="F105" s="74"/>
      <c r="G105" s="16"/>
      <c r="H105" s="1"/>
      <c r="I105" s="1"/>
      <c r="J105" s="19"/>
    </row>
    <row r="106" spans="1:10" x14ac:dyDescent="0.25">
      <c r="A106" s="1">
        <f t="shared" si="1"/>
        <v>33</v>
      </c>
      <c r="B106" s="31" t="s">
        <v>163</v>
      </c>
      <c r="C106" s="58" t="s">
        <v>164</v>
      </c>
      <c r="D106" s="53" t="s">
        <v>335</v>
      </c>
      <c r="E106" s="73"/>
      <c r="F106" s="74"/>
      <c r="G106" s="16"/>
      <c r="H106" s="1"/>
      <c r="I106" s="1"/>
      <c r="J106" s="19"/>
    </row>
    <row r="107" spans="1:10" x14ac:dyDescent="0.25">
      <c r="A107" s="1">
        <f t="shared" si="1"/>
        <v>34</v>
      </c>
      <c r="B107" s="31" t="s">
        <v>165</v>
      </c>
      <c r="C107" s="58" t="s">
        <v>166</v>
      </c>
      <c r="D107" s="53" t="s">
        <v>335</v>
      </c>
      <c r="E107" s="73"/>
      <c r="F107" s="74"/>
      <c r="G107" s="16"/>
      <c r="H107" s="1"/>
      <c r="I107" s="1"/>
      <c r="J107" s="19"/>
    </row>
    <row r="108" spans="1:10" x14ac:dyDescent="0.25">
      <c r="A108" s="1">
        <f t="shared" si="1"/>
        <v>35</v>
      </c>
      <c r="B108" s="31" t="s">
        <v>167</v>
      </c>
      <c r="C108" s="58" t="s">
        <v>168</v>
      </c>
      <c r="D108" s="53" t="s">
        <v>335</v>
      </c>
      <c r="E108" s="73"/>
      <c r="F108" s="74"/>
      <c r="G108" s="16"/>
      <c r="H108" s="1"/>
      <c r="I108" s="1"/>
      <c r="J108" s="19"/>
    </row>
    <row r="109" spans="1:10" x14ac:dyDescent="0.25">
      <c r="A109" s="1">
        <f t="shared" si="1"/>
        <v>36</v>
      </c>
      <c r="B109" s="31" t="s">
        <v>169</v>
      </c>
      <c r="C109" s="58" t="s">
        <v>170</v>
      </c>
      <c r="D109" s="53" t="s">
        <v>335</v>
      </c>
      <c r="E109" s="73"/>
      <c r="F109" s="74"/>
      <c r="G109" s="16"/>
      <c r="H109" s="1"/>
      <c r="I109" s="1"/>
      <c r="J109" s="19"/>
    </row>
    <row r="110" spans="1:10" x14ac:dyDescent="0.25">
      <c r="A110" s="1">
        <f t="shared" si="1"/>
        <v>37</v>
      </c>
      <c r="B110" s="31" t="s">
        <v>171</v>
      </c>
      <c r="C110" s="58" t="s">
        <v>172</v>
      </c>
      <c r="D110" s="53" t="s">
        <v>335</v>
      </c>
      <c r="E110" s="73"/>
      <c r="F110" s="74"/>
      <c r="G110" s="16"/>
      <c r="H110" s="1"/>
      <c r="I110" s="1"/>
      <c r="J110" s="19"/>
    </row>
    <row r="111" spans="1:10" x14ac:dyDescent="0.25">
      <c r="A111" s="1">
        <f t="shared" si="1"/>
        <v>38</v>
      </c>
      <c r="B111" s="31" t="s">
        <v>173</v>
      </c>
      <c r="C111" s="58" t="s">
        <v>174</v>
      </c>
      <c r="D111" s="53" t="s">
        <v>335</v>
      </c>
      <c r="E111" s="73"/>
      <c r="F111" s="74"/>
      <c r="G111" s="16"/>
      <c r="H111" s="1"/>
      <c r="I111" s="1"/>
      <c r="J111" s="19"/>
    </row>
    <row r="112" spans="1:10" x14ac:dyDescent="0.25">
      <c r="A112" s="1">
        <f t="shared" si="1"/>
        <v>39</v>
      </c>
      <c r="B112" s="31" t="s">
        <v>175</v>
      </c>
      <c r="C112" s="58" t="s">
        <v>176</v>
      </c>
      <c r="D112" s="53" t="s">
        <v>335</v>
      </c>
      <c r="E112" s="73"/>
      <c r="F112" s="74"/>
      <c r="G112" s="16"/>
      <c r="H112" s="1"/>
      <c r="I112" s="1"/>
      <c r="J112" s="19"/>
    </row>
    <row r="113" spans="1:10" x14ac:dyDescent="0.25">
      <c r="A113" s="1">
        <f t="shared" si="1"/>
        <v>40</v>
      </c>
      <c r="B113" s="31" t="s">
        <v>177</v>
      </c>
      <c r="C113" s="58" t="s">
        <v>178</v>
      </c>
      <c r="D113" s="53" t="s">
        <v>335</v>
      </c>
      <c r="E113" s="73"/>
      <c r="F113" s="74"/>
      <c r="G113" s="16"/>
      <c r="H113" s="1"/>
      <c r="I113" s="1"/>
      <c r="J113" s="19"/>
    </row>
    <row r="114" spans="1:10" x14ac:dyDescent="0.25">
      <c r="A114" s="1">
        <f t="shared" si="1"/>
        <v>41</v>
      </c>
      <c r="B114" s="31" t="s">
        <v>179</v>
      </c>
      <c r="C114" s="58" t="s">
        <v>180</v>
      </c>
      <c r="D114" s="53" t="s">
        <v>335</v>
      </c>
      <c r="E114" s="73"/>
      <c r="F114" s="74"/>
      <c r="G114" s="16"/>
      <c r="H114" s="1"/>
      <c r="I114" s="1"/>
      <c r="J114" s="19"/>
    </row>
    <row r="115" spans="1:10" x14ac:dyDescent="0.25">
      <c r="A115" s="1">
        <f t="shared" si="1"/>
        <v>42</v>
      </c>
      <c r="B115" s="31" t="s">
        <v>181</v>
      </c>
      <c r="C115" s="58" t="s">
        <v>182</v>
      </c>
      <c r="D115" s="53" t="s">
        <v>335</v>
      </c>
      <c r="E115" s="73"/>
      <c r="F115" s="74"/>
      <c r="G115" s="16"/>
      <c r="H115" s="1"/>
      <c r="I115" s="1"/>
      <c r="J115" s="19"/>
    </row>
    <row r="116" spans="1:10" x14ac:dyDescent="0.25">
      <c r="A116" s="1">
        <f t="shared" si="1"/>
        <v>43</v>
      </c>
      <c r="B116" s="31" t="s">
        <v>183</v>
      </c>
      <c r="C116" s="58" t="s">
        <v>184</v>
      </c>
      <c r="D116" s="53" t="s">
        <v>335</v>
      </c>
      <c r="E116" s="73"/>
      <c r="F116" s="74"/>
      <c r="G116" s="16"/>
      <c r="H116" s="1"/>
      <c r="I116" s="1"/>
      <c r="J116" s="19"/>
    </row>
    <row r="117" spans="1:10" x14ac:dyDescent="0.25">
      <c r="A117" s="1">
        <f t="shared" si="1"/>
        <v>44</v>
      </c>
      <c r="B117" s="31" t="s">
        <v>185</v>
      </c>
      <c r="C117" s="58" t="s">
        <v>186</v>
      </c>
      <c r="D117" s="53" t="s">
        <v>335</v>
      </c>
      <c r="E117" s="73"/>
      <c r="F117" s="74"/>
      <c r="G117" s="16"/>
      <c r="H117" s="1"/>
      <c r="I117" s="1"/>
      <c r="J117" s="19"/>
    </row>
    <row r="118" spans="1:10" x14ac:dyDescent="0.25">
      <c r="A118" s="1">
        <f t="shared" si="1"/>
        <v>45</v>
      </c>
      <c r="B118" s="31" t="s">
        <v>187</v>
      </c>
      <c r="C118" s="58" t="s">
        <v>188</v>
      </c>
      <c r="D118" s="53" t="s">
        <v>335</v>
      </c>
      <c r="E118" s="73"/>
      <c r="F118" s="74"/>
      <c r="G118" s="16"/>
      <c r="H118" s="1"/>
      <c r="I118" s="1"/>
      <c r="J118" s="19"/>
    </row>
    <row r="119" spans="1:10" x14ac:dyDescent="0.25">
      <c r="A119" s="1">
        <f t="shared" si="1"/>
        <v>46</v>
      </c>
      <c r="B119" s="31" t="s">
        <v>189</v>
      </c>
      <c r="C119" s="58" t="s">
        <v>190</v>
      </c>
      <c r="D119" s="53" t="s">
        <v>335</v>
      </c>
      <c r="E119" s="73"/>
      <c r="F119" s="74"/>
      <c r="G119" s="16"/>
      <c r="H119" s="1"/>
      <c r="I119" s="1"/>
      <c r="J119" s="19"/>
    </row>
    <row r="120" spans="1:10" x14ac:dyDescent="0.25">
      <c r="A120" s="1">
        <f t="shared" si="1"/>
        <v>47</v>
      </c>
      <c r="B120" s="31" t="s">
        <v>191</v>
      </c>
      <c r="C120" s="58" t="s">
        <v>192</v>
      </c>
      <c r="D120" s="53" t="s">
        <v>335</v>
      </c>
      <c r="E120" s="73"/>
      <c r="F120" s="74"/>
      <c r="G120" s="16"/>
      <c r="H120" s="1"/>
      <c r="I120" s="1"/>
      <c r="J120" s="19"/>
    </row>
    <row r="121" spans="1:10" x14ac:dyDescent="0.25">
      <c r="A121" s="1">
        <f t="shared" si="1"/>
        <v>48</v>
      </c>
      <c r="B121" s="31" t="s">
        <v>193</v>
      </c>
      <c r="C121" s="58" t="s">
        <v>194</v>
      </c>
      <c r="D121" s="53" t="s">
        <v>335</v>
      </c>
      <c r="E121" s="73"/>
      <c r="F121" s="74"/>
      <c r="G121" s="16"/>
      <c r="H121" s="1"/>
      <c r="I121" s="1"/>
      <c r="J121" s="19"/>
    </row>
    <row r="122" spans="1:10" x14ac:dyDescent="0.25">
      <c r="A122" s="1">
        <f t="shared" si="1"/>
        <v>49</v>
      </c>
      <c r="B122" s="31" t="s">
        <v>195</v>
      </c>
      <c r="C122" s="58" t="s">
        <v>196</v>
      </c>
      <c r="D122" s="53" t="s">
        <v>335</v>
      </c>
      <c r="E122" s="73"/>
      <c r="F122" s="74"/>
      <c r="G122" s="16"/>
      <c r="H122" s="1"/>
      <c r="I122" s="1"/>
      <c r="J122" s="19"/>
    </row>
    <row r="123" spans="1:10" x14ac:dyDescent="0.25">
      <c r="A123" s="1">
        <f t="shared" si="1"/>
        <v>50</v>
      </c>
      <c r="B123" s="31" t="s">
        <v>197</v>
      </c>
      <c r="C123" s="58" t="s">
        <v>198</v>
      </c>
      <c r="D123" s="53" t="s">
        <v>335</v>
      </c>
      <c r="E123" s="73"/>
      <c r="F123" s="74"/>
      <c r="G123" s="16"/>
      <c r="H123" s="1"/>
      <c r="I123" s="1"/>
      <c r="J123" s="19"/>
    </row>
    <row r="124" spans="1:10" x14ac:dyDescent="0.25">
      <c r="A124" s="1">
        <f t="shared" si="1"/>
        <v>51</v>
      </c>
      <c r="B124" s="31" t="s">
        <v>199</v>
      </c>
      <c r="C124" s="58" t="s">
        <v>200</v>
      </c>
      <c r="D124" s="53" t="s">
        <v>335</v>
      </c>
      <c r="E124" s="73"/>
      <c r="F124" s="74"/>
      <c r="G124" s="16"/>
      <c r="H124" s="1"/>
      <c r="I124" s="1"/>
      <c r="J124" s="19"/>
    </row>
    <row r="125" spans="1:10" x14ac:dyDescent="0.25">
      <c r="A125" s="1">
        <f t="shared" si="1"/>
        <v>52</v>
      </c>
      <c r="B125" s="31" t="s">
        <v>201</v>
      </c>
      <c r="C125" s="58" t="s">
        <v>202</v>
      </c>
      <c r="D125" s="53" t="s">
        <v>335</v>
      </c>
      <c r="E125" s="73"/>
      <c r="F125" s="74"/>
      <c r="G125" s="16"/>
      <c r="H125" s="1"/>
      <c r="I125" s="1"/>
      <c r="J125" s="19"/>
    </row>
    <row r="126" spans="1:10" x14ac:dyDescent="0.25">
      <c r="A126" s="1">
        <f t="shared" si="1"/>
        <v>53</v>
      </c>
      <c r="B126" s="31" t="s">
        <v>203</v>
      </c>
      <c r="C126" s="58" t="s">
        <v>204</v>
      </c>
      <c r="D126" s="53" t="s">
        <v>335</v>
      </c>
      <c r="E126" s="73"/>
      <c r="F126" s="74"/>
      <c r="G126" s="16"/>
      <c r="H126" s="1"/>
      <c r="I126" s="1"/>
      <c r="J126" s="19"/>
    </row>
    <row r="127" spans="1:10" x14ac:dyDescent="0.25">
      <c r="A127" s="1">
        <f t="shared" si="1"/>
        <v>54</v>
      </c>
      <c r="B127" s="31" t="s">
        <v>205</v>
      </c>
      <c r="C127" s="58" t="s">
        <v>206</v>
      </c>
      <c r="D127" s="53" t="s">
        <v>335</v>
      </c>
      <c r="E127" s="73"/>
      <c r="F127" s="74"/>
      <c r="G127" s="16"/>
      <c r="H127" s="1"/>
      <c r="I127" s="1"/>
      <c r="J127" s="19"/>
    </row>
    <row r="128" spans="1:10" x14ac:dyDescent="0.25">
      <c r="A128" s="1">
        <f t="shared" si="1"/>
        <v>55</v>
      </c>
      <c r="B128" s="31" t="s">
        <v>207</v>
      </c>
      <c r="C128" s="58" t="s">
        <v>208</v>
      </c>
      <c r="D128" s="53" t="s">
        <v>335</v>
      </c>
      <c r="E128" s="73"/>
      <c r="F128" s="74"/>
      <c r="G128" s="16"/>
      <c r="H128" s="1"/>
      <c r="I128" s="1"/>
      <c r="J128" s="19"/>
    </row>
    <row r="129" spans="1:10" x14ac:dyDescent="0.25">
      <c r="A129" s="1">
        <f t="shared" si="1"/>
        <v>56</v>
      </c>
      <c r="B129" s="31" t="s">
        <v>209</v>
      </c>
      <c r="C129" s="58" t="s">
        <v>210</v>
      </c>
      <c r="D129" s="53" t="s">
        <v>335</v>
      </c>
      <c r="E129" s="73"/>
      <c r="F129" s="74"/>
      <c r="G129" s="16"/>
      <c r="H129" s="1"/>
      <c r="I129" s="1"/>
      <c r="J129" s="19"/>
    </row>
    <row r="130" spans="1:10" x14ac:dyDescent="0.25">
      <c r="A130" s="1">
        <f t="shared" si="1"/>
        <v>57</v>
      </c>
      <c r="B130" s="31" t="s">
        <v>211</v>
      </c>
      <c r="C130" s="58" t="s">
        <v>212</v>
      </c>
      <c r="D130" s="53" t="s">
        <v>335</v>
      </c>
      <c r="E130" s="73"/>
      <c r="F130" s="74"/>
      <c r="G130" s="16"/>
      <c r="H130" s="1"/>
      <c r="I130" s="1"/>
      <c r="J130" s="19"/>
    </row>
    <row r="131" spans="1:10" x14ac:dyDescent="0.25">
      <c r="A131" s="1">
        <f t="shared" si="1"/>
        <v>58</v>
      </c>
      <c r="B131" s="31" t="s">
        <v>218</v>
      </c>
      <c r="C131" s="58" t="s">
        <v>217</v>
      </c>
      <c r="D131" s="53" t="s">
        <v>335</v>
      </c>
      <c r="E131" s="73"/>
      <c r="F131" s="74"/>
      <c r="G131" s="16"/>
      <c r="H131" s="1"/>
      <c r="I131" s="1"/>
      <c r="J131" s="19"/>
    </row>
    <row r="132" spans="1:10" x14ac:dyDescent="0.25">
      <c r="A132" s="1">
        <f t="shared" si="1"/>
        <v>59</v>
      </c>
      <c r="B132" s="31" t="s">
        <v>213</v>
      </c>
      <c r="C132" s="58" t="s">
        <v>214</v>
      </c>
      <c r="D132" s="53" t="s">
        <v>335</v>
      </c>
      <c r="E132" s="73"/>
      <c r="F132" s="74"/>
      <c r="G132" s="16"/>
      <c r="H132" s="1"/>
      <c r="I132" s="1"/>
      <c r="J132" s="19"/>
    </row>
    <row r="133" spans="1:10" x14ac:dyDescent="0.25">
      <c r="A133" s="1">
        <f t="shared" si="1"/>
        <v>60</v>
      </c>
      <c r="B133" s="31" t="s">
        <v>215</v>
      </c>
      <c r="C133" s="58" t="s">
        <v>216</v>
      </c>
      <c r="D133" s="53" t="s">
        <v>335</v>
      </c>
      <c r="E133" s="73"/>
      <c r="F133" s="74"/>
      <c r="G133" s="16"/>
      <c r="H133" s="1"/>
      <c r="I133" s="1"/>
      <c r="J133" s="19"/>
    </row>
    <row r="134" spans="1:10" x14ac:dyDescent="0.25">
      <c r="A134" s="1">
        <f t="shared" si="1"/>
        <v>61</v>
      </c>
      <c r="B134" s="31" t="s">
        <v>219</v>
      </c>
      <c r="C134" s="58" t="s">
        <v>220</v>
      </c>
      <c r="D134" s="53" t="s">
        <v>335</v>
      </c>
      <c r="E134" s="73"/>
      <c r="F134" s="74"/>
      <c r="G134" s="16"/>
      <c r="H134" s="1"/>
      <c r="I134" s="1"/>
      <c r="J134" s="19"/>
    </row>
    <row r="135" spans="1:10" x14ac:dyDescent="0.25">
      <c r="A135" s="1">
        <f t="shared" si="1"/>
        <v>62</v>
      </c>
      <c r="B135" s="31" t="s">
        <v>221</v>
      </c>
      <c r="C135" s="58" t="s">
        <v>222</v>
      </c>
      <c r="D135" s="53" t="s">
        <v>335</v>
      </c>
      <c r="E135" s="73"/>
      <c r="F135" s="74"/>
      <c r="G135" s="16"/>
      <c r="H135" s="1"/>
      <c r="I135" s="1"/>
      <c r="J135" s="19"/>
    </row>
    <row r="136" spans="1:10" x14ac:dyDescent="0.25">
      <c r="A136" s="1">
        <f t="shared" si="1"/>
        <v>63</v>
      </c>
      <c r="B136" s="31" t="s">
        <v>223</v>
      </c>
      <c r="C136" s="58" t="s">
        <v>224</v>
      </c>
      <c r="D136" s="53" t="s">
        <v>335</v>
      </c>
      <c r="E136" s="73"/>
      <c r="F136" s="74"/>
      <c r="G136" s="16"/>
      <c r="H136" s="1"/>
      <c r="I136" s="1"/>
      <c r="J136" s="19"/>
    </row>
    <row r="137" spans="1:10" x14ac:dyDescent="0.25">
      <c r="A137" s="1">
        <f t="shared" si="1"/>
        <v>64</v>
      </c>
      <c r="B137" s="31" t="s">
        <v>225</v>
      </c>
      <c r="C137" s="58" t="s">
        <v>226</v>
      </c>
      <c r="D137" s="53" t="s">
        <v>335</v>
      </c>
      <c r="E137" s="73"/>
      <c r="F137" s="74"/>
      <c r="G137" s="16"/>
      <c r="H137" s="1"/>
      <c r="I137" s="1"/>
      <c r="J137" s="19"/>
    </row>
    <row r="138" spans="1:10" x14ac:dyDescent="0.25">
      <c r="A138" s="1">
        <f t="shared" si="1"/>
        <v>65</v>
      </c>
      <c r="B138" s="31" t="s">
        <v>227</v>
      </c>
      <c r="C138" s="58" t="s">
        <v>228</v>
      </c>
      <c r="D138" s="53" t="s">
        <v>335</v>
      </c>
      <c r="E138" s="73"/>
      <c r="F138" s="74"/>
      <c r="G138" s="16"/>
      <c r="H138" s="1"/>
      <c r="I138" s="1"/>
      <c r="J138" s="19"/>
    </row>
    <row r="139" spans="1:10" x14ac:dyDescent="0.25">
      <c r="A139" s="1">
        <f t="shared" ref="A139:A202" si="2">A138+1</f>
        <v>66</v>
      </c>
      <c r="B139" s="31" t="s">
        <v>229</v>
      </c>
      <c r="C139" s="58" t="s">
        <v>230</v>
      </c>
      <c r="D139" s="53" t="s">
        <v>335</v>
      </c>
      <c r="E139" s="73"/>
      <c r="F139" s="74"/>
      <c r="G139" s="16"/>
      <c r="H139" s="1"/>
      <c r="I139" s="1"/>
      <c r="J139" s="19"/>
    </row>
    <row r="140" spans="1:10" x14ac:dyDescent="0.25">
      <c r="A140" s="1">
        <f t="shared" si="2"/>
        <v>67</v>
      </c>
      <c r="B140" s="31" t="s">
        <v>231</v>
      </c>
      <c r="C140" s="58" t="s">
        <v>232</v>
      </c>
      <c r="D140" s="53" t="s">
        <v>335</v>
      </c>
      <c r="E140" s="73"/>
      <c r="F140" s="74"/>
      <c r="G140" s="16"/>
      <c r="H140" s="1"/>
      <c r="I140" s="1"/>
      <c r="J140" s="19"/>
    </row>
    <row r="141" spans="1:10" x14ac:dyDescent="0.25">
      <c r="A141" s="1">
        <f t="shared" si="2"/>
        <v>68</v>
      </c>
      <c r="B141" s="31" t="s">
        <v>233</v>
      </c>
      <c r="C141" s="58" t="s">
        <v>234</v>
      </c>
      <c r="D141" s="53" t="s">
        <v>335</v>
      </c>
      <c r="E141" s="73"/>
      <c r="F141" s="74"/>
      <c r="G141" s="16"/>
      <c r="H141" s="1"/>
      <c r="I141" s="1"/>
      <c r="J141" s="19"/>
    </row>
    <row r="142" spans="1:10" x14ac:dyDescent="0.25">
      <c r="A142" s="1">
        <f t="shared" si="2"/>
        <v>69</v>
      </c>
      <c r="B142" s="31" t="s">
        <v>235</v>
      </c>
      <c r="C142" s="58" t="s">
        <v>236</v>
      </c>
      <c r="D142" s="53" t="s">
        <v>335</v>
      </c>
      <c r="E142" s="73"/>
      <c r="F142" s="74"/>
      <c r="G142" s="16"/>
      <c r="H142" s="1"/>
      <c r="I142" s="1"/>
      <c r="J142" s="19"/>
    </row>
    <row r="143" spans="1:10" x14ac:dyDescent="0.25">
      <c r="A143" s="1">
        <f t="shared" si="2"/>
        <v>70</v>
      </c>
      <c r="B143" s="56" t="s">
        <v>237</v>
      </c>
      <c r="C143" s="57" t="s">
        <v>238</v>
      </c>
      <c r="D143" s="53" t="s">
        <v>335</v>
      </c>
      <c r="E143" s="73"/>
      <c r="F143" s="74"/>
      <c r="G143" s="16"/>
      <c r="H143" s="1"/>
      <c r="I143" s="1"/>
      <c r="J143" s="19"/>
    </row>
    <row r="144" spans="1:10" x14ac:dyDescent="0.25">
      <c r="A144" s="1">
        <f t="shared" si="2"/>
        <v>71</v>
      </c>
      <c r="B144" s="31" t="s">
        <v>239</v>
      </c>
      <c r="C144" s="58" t="s">
        <v>240</v>
      </c>
      <c r="D144" s="53" t="s">
        <v>335</v>
      </c>
      <c r="E144" s="73"/>
      <c r="F144" s="74"/>
      <c r="G144" s="16"/>
      <c r="H144" s="1"/>
      <c r="I144" s="1"/>
      <c r="J144" s="19"/>
    </row>
    <row r="145" spans="1:10" x14ac:dyDescent="0.25">
      <c r="A145" s="1">
        <f t="shared" si="2"/>
        <v>72</v>
      </c>
      <c r="B145" s="31" t="s">
        <v>241</v>
      </c>
      <c r="C145" s="58" t="s">
        <v>242</v>
      </c>
      <c r="D145" s="53" t="s">
        <v>335</v>
      </c>
      <c r="E145" s="73"/>
      <c r="F145" s="74"/>
      <c r="G145" s="16"/>
      <c r="H145" s="1"/>
      <c r="I145" s="1"/>
      <c r="J145" s="19"/>
    </row>
    <row r="146" spans="1:10" x14ac:dyDescent="0.25">
      <c r="A146" s="1">
        <f t="shared" si="2"/>
        <v>73</v>
      </c>
      <c r="B146" s="31" t="s">
        <v>243</v>
      </c>
      <c r="C146" s="58" t="s">
        <v>244</v>
      </c>
      <c r="D146" s="53" t="s">
        <v>335</v>
      </c>
      <c r="E146" s="73"/>
      <c r="F146" s="74"/>
      <c r="G146" s="16"/>
      <c r="H146" s="1"/>
      <c r="I146" s="1"/>
      <c r="J146" s="19"/>
    </row>
    <row r="147" spans="1:10" x14ac:dyDescent="0.25">
      <c r="A147" s="1">
        <f t="shared" si="2"/>
        <v>74</v>
      </c>
      <c r="B147" s="31" t="s">
        <v>245</v>
      </c>
      <c r="C147" s="58" t="s">
        <v>246</v>
      </c>
      <c r="D147" s="53" t="s">
        <v>335</v>
      </c>
      <c r="E147" s="73"/>
      <c r="F147" s="74"/>
      <c r="G147" s="16"/>
      <c r="H147" s="1"/>
      <c r="I147" s="1"/>
      <c r="J147" s="19"/>
    </row>
    <row r="148" spans="1:10" x14ac:dyDescent="0.25">
      <c r="A148" s="1">
        <f>A147+1</f>
        <v>75</v>
      </c>
      <c r="B148" s="31" t="s">
        <v>247</v>
      </c>
      <c r="C148" s="58" t="s">
        <v>248</v>
      </c>
      <c r="D148" s="53" t="s">
        <v>335</v>
      </c>
      <c r="E148" s="73"/>
      <c r="F148" s="74"/>
      <c r="G148" s="16"/>
      <c r="H148" s="1"/>
      <c r="I148" s="1"/>
      <c r="J148" s="19"/>
    </row>
    <row r="149" spans="1:10" x14ac:dyDescent="0.25">
      <c r="A149" s="1">
        <f t="shared" si="2"/>
        <v>76</v>
      </c>
      <c r="B149" s="31" t="s">
        <v>249</v>
      </c>
      <c r="C149" s="58"/>
      <c r="D149" s="53" t="s">
        <v>335</v>
      </c>
      <c r="E149" s="73"/>
      <c r="F149" s="74"/>
      <c r="G149" s="16"/>
      <c r="H149" s="1"/>
      <c r="I149" s="1"/>
      <c r="J149" s="19"/>
    </row>
    <row r="150" spans="1:10" x14ac:dyDescent="0.25">
      <c r="A150" s="1">
        <f t="shared" si="2"/>
        <v>77</v>
      </c>
      <c r="B150" s="31" t="s">
        <v>250</v>
      </c>
      <c r="C150" s="58"/>
      <c r="D150" s="53" t="s">
        <v>335</v>
      </c>
      <c r="E150" s="73"/>
      <c r="F150" s="74"/>
      <c r="G150" s="16"/>
      <c r="H150" s="1"/>
      <c r="I150" s="1"/>
      <c r="J150" s="19"/>
    </row>
    <row r="151" spans="1:10" x14ac:dyDescent="0.25">
      <c r="A151" s="1">
        <f t="shared" si="2"/>
        <v>78</v>
      </c>
      <c r="B151" s="31" t="s">
        <v>251</v>
      </c>
      <c r="C151" s="58"/>
      <c r="D151" s="53" t="s">
        <v>335</v>
      </c>
      <c r="E151" s="73"/>
      <c r="F151" s="74"/>
      <c r="G151" s="16"/>
      <c r="H151" s="9"/>
      <c r="I151" s="1"/>
      <c r="J151" s="19"/>
    </row>
    <row r="152" spans="1:10" x14ac:dyDescent="0.25">
      <c r="A152" s="1">
        <f t="shared" si="2"/>
        <v>79</v>
      </c>
      <c r="B152" s="31" t="s">
        <v>252</v>
      </c>
      <c r="C152" s="58" t="s">
        <v>253</v>
      </c>
      <c r="D152" s="53" t="s">
        <v>335</v>
      </c>
      <c r="E152" s="73"/>
      <c r="F152" s="74"/>
      <c r="G152" s="16"/>
      <c r="H152" s="9"/>
      <c r="I152" s="1"/>
      <c r="J152" s="19"/>
    </row>
    <row r="153" spans="1:10" x14ac:dyDescent="0.25">
      <c r="A153" s="1">
        <f t="shared" si="2"/>
        <v>80</v>
      </c>
      <c r="B153" s="31" t="s">
        <v>254</v>
      </c>
      <c r="C153" s="58" t="s">
        <v>255</v>
      </c>
      <c r="D153" s="53" t="s">
        <v>335</v>
      </c>
      <c r="E153" s="73"/>
      <c r="F153" s="74"/>
      <c r="G153" s="16"/>
      <c r="H153" s="1"/>
      <c r="I153" s="1"/>
      <c r="J153" s="19"/>
    </row>
    <row r="154" spans="1:10" x14ac:dyDescent="0.25">
      <c r="A154" s="1">
        <f t="shared" si="2"/>
        <v>81</v>
      </c>
      <c r="B154" s="31" t="s">
        <v>4</v>
      </c>
      <c r="C154" s="58"/>
      <c r="D154" s="53" t="s">
        <v>335</v>
      </c>
      <c r="E154" s="73"/>
      <c r="F154" s="74"/>
      <c r="G154" s="16"/>
      <c r="H154" s="1"/>
      <c r="I154" s="1"/>
      <c r="J154" s="19"/>
    </row>
    <row r="155" spans="1:10" x14ac:dyDescent="0.25">
      <c r="A155" s="1">
        <f t="shared" si="2"/>
        <v>82</v>
      </c>
      <c r="B155" s="31" t="s">
        <v>256</v>
      </c>
      <c r="C155" s="58" t="s">
        <v>257</v>
      </c>
      <c r="D155" s="53" t="s">
        <v>335</v>
      </c>
      <c r="E155" s="73"/>
      <c r="F155" s="74"/>
      <c r="G155" s="16"/>
      <c r="H155" s="1"/>
      <c r="I155" s="1"/>
      <c r="J155" s="19"/>
    </row>
    <row r="156" spans="1:10" x14ac:dyDescent="0.25">
      <c r="A156" s="1">
        <f t="shared" si="2"/>
        <v>83</v>
      </c>
      <c r="B156" s="31" t="s">
        <v>258</v>
      </c>
      <c r="C156" s="58" t="s">
        <v>259</v>
      </c>
      <c r="D156" s="53" t="s">
        <v>335</v>
      </c>
      <c r="E156" s="73"/>
      <c r="F156" s="74"/>
      <c r="G156" s="16"/>
      <c r="H156" s="1"/>
      <c r="I156" s="1"/>
      <c r="J156" s="19"/>
    </row>
    <row r="157" spans="1:10" x14ac:dyDescent="0.25">
      <c r="A157" s="1">
        <f t="shared" si="2"/>
        <v>84</v>
      </c>
      <c r="B157" s="31" t="s">
        <v>260</v>
      </c>
      <c r="C157" s="58" t="s">
        <v>261</v>
      </c>
      <c r="D157" s="53" t="s">
        <v>335</v>
      </c>
      <c r="E157" s="73"/>
      <c r="F157" s="74"/>
      <c r="G157" s="16"/>
      <c r="H157" s="1"/>
      <c r="I157" s="1"/>
      <c r="J157" s="19"/>
    </row>
    <row r="158" spans="1:10" x14ac:dyDescent="0.25">
      <c r="A158" s="1">
        <f t="shared" si="2"/>
        <v>85</v>
      </c>
      <c r="B158" s="31" t="s">
        <v>262</v>
      </c>
      <c r="C158" s="58" t="s">
        <v>263</v>
      </c>
      <c r="D158" s="53" t="s">
        <v>335</v>
      </c>
      <c r="E158" s="73"/>
      <c r="F158" s="74"/>
      <c r="G158" s="16"/>
      <c r="H158" s="1"/>
      <c r="I158" s="1"/>
      <c r="J158" s="19"/>
    </row>
    <row r="159" spans="1:10" x14ac:dyDescent="0.25">
      <c r="A159" s="1">
        <f t="shared" si="2"/>
        <v>86</v>
      </c>
      <c r="B159" s="31" t="s">
        <v>264</v>
      </c>
      <c r="C159" s="58" t="s">
        <v>265</v>
      </c>
      <c r="D159" s="53" t="s">
        <v>335</v>
      </c>
      <c r="E159" s="73"/>
      <c r="F159" s="74"/>
      <c r="G159" s="16"/>
      <c r="H159" s="1"/>
      <c r="I159" s="1"/>
      <c r="J159" s="19"/>
    </row>
    <row r="160" spans="1:10" x14ac:dyDescent="0.25">
      <c r="A160" s="1">
        <f t="shared" si="2"/>
        <v>87</v>
      </c>
      <c r="B160" s="31" t="s">
        <v>266</v>
      </c>
      <c r="C160" s="58" t="s">
        <v>267</v>
      </c>
      <c r="D160" s="53" t="s">
        <v>335</v>
      </c>
      <c r="E160" s="73"/>
      <c r="F160" s="74"/>
      <c r="G160" s="16"/>
      <c r="H160" s="1"/>
      <c r="I160" s="1"/>
      <c r="J160" s="19"/>
    </row>
    <row r="161" spans="1:10" x14ac:dyDescent="0.25">
      <c r="A161" s="1">
        <f t="shared" si="2"/>
        <v>88</v>
      </c>
      <c r="B161" s="31" t="s">
        <v>268</v>
      </c>
      <c r="C161" s="58" t="s">
        <v>269</v>
      </c>
      <c r="D161" s="53" t="s">
        <v>335</v>
      </c>
      <c r="E161" s="73"/>
      <c r="F161" s="74"/>
      <c r="G161" s="16"/>
      <c r="H161" s="1"/>
      <c r="I161" s="1"/>
      <c r="J161" s="19"/>
    </row>
    <row r="162" spans="1:10" x14ac:dyDescent="0.25">
      <c r="A162" s="1">
        <f t="shared" si="2"/>
        <v>89</v>
      </c>
      <c r="B162" s="31" t="s">
        <v>271</v>
      </c>
      <c r="C162" s="58" t="s">
        <v>270</v>
      </c>
      <c r="D162" s="53" t="s">
        <v>335</v>
      </c>
      <c r="E162" s="73"/>
      <c r="F162" s="74"/>
      <c r="G162" s="16"/>
      <c r="H162" s="1"/>
      <c r="I162" s="1"/>
      <c r="J162" s="19"/>
    </row>
    <row r="163" spans="1:10" x14ac:dyDescent="0.25">
      <c r="A163" s="1">
        <f t="shared" si="2"/>
        <v>90</v>
      </c>
      <c r="B163" s="31" t="s">
        <v>272</v>
      </c>
      <c r="C163" s="58" t="s">
        <v>273</v>
      </c>
      <c r="D163" s="53" t="s">
        <v>335</v>
      </c>
      <c r="E163" s="73"/>
      <c r="F163" s="74"/>
      <c r="G163" s="16"/>
      <c r="H163" s="1"/>
      <c r="I163" s="1"/>
      <c r="J163" s="19"/>
    </row>
    <row r="164" spans="1:10" x14ac:dyDescent="0.25">
      <c r="A164" s="1">
        <f t="shared" si="2"/>
        <v>91</v>
      </c>
      <c r="B164" s="31" t="s">
        <v>274</v>
      </c>
      <c r="C164" s="58" t="s">
        <v>275</v>
      </c>
      <c r="D164" s="53" t="s">
        <v>335</v>
      </c>
      <c r="E164" s="73"/>
      <c r="F164" s="74"/>
      <c r="G164" s="16"/>
      <c r="H164" s="1"/>
      <c r="I164" s="1"/>
      <c r="J164" s="19"/>
    </row>
    <row r="165" spans="1:10" x14ac:dyDescent="0.25">
      <c r="A165" s="1">
        <f t="shared" si="2"/>
        <v>92</v>
      </c>
      <c r="B165" s="31" t="s">
        <v>276</v>
      </c>
      <c r="C165" s="58" t="s">
        <v>277</v>
      </c>
      <c r="D165" s="53" t="s">
        <v>335</v>
      </c>
      <c r="E165" s="73"/>
      <c r="F165" s="74"/>
      <c r="G165" s="16"/>
      <c r="H165" s="1"/>
      <c r="I165" s="1"/>
      <c r="J165" s="19"/>
    </row>
    <row r="166" spans="1:10" x14ac:dyDescent="0.25">
      <c r="A166" s="1">
        <f t="shared" si="2"/>
        <v>93</v>
      </c>
      <c r="B166" s="31" t="s">
        <v>278</v>
      </c>
      <c r="C166" s="58" t="s">
        <v>279</v>
      </c>
      <c r="D166" s="53" t="s">
        <v>335</v>
      </c>
      <c r="E166" s="73"/>
      <c r="F166" s="74"/>
      <c r="G166" s="16"/>
      <c r="H166" s="1"/>
      <c r="I166" s="1"/>
      <c r="J166" s="19"/>
    </row>
    <row r="167" spans="1:10" x14ac:dyDescent="0.25">
      <c r="A167" s="1">
        <f t="shared" si="2"/>
        <v>94</v>
      </c>
      <c r="B167" s="31" t="s">
        <v>280</v>
      </c>
      <c r="C167" s="58" t="s">
        <v>281</v>
      </c>
      <c r="D167" s="53" t="s">
        <v>335</v>
      </c>
      <c r="E167" s="73"/>
      <c r="F167" s="74"/>
      <c r="G167" s="16"/>
      <c r="H167" s="1"/>
      <c r="I167" s="1"/>
      <c r="J167" s="19"/>
    </row>
    <row r="168" spans="1:10" x14ac:dyDescent="0.25">
      <c r="A168" s="1">
        <f t="shared" si="2"/>
        <v>95</v>
      </c>
      <c r="B168" s="31" t="s">
        <v>282</v>
      </c>
      <c r="C168" s="58" t="s">
        <v>283</v>
      </c>
      <c r="D168" s="53" t="s">
        <v>335</v>
      </c>
      <c r="E168" s="73"/>
      <c r="F168" s="74"/>
      <c r="G168" s="16"/>
      <c r="H168" s="1"/>
      <c r="I168" s="1"/>
      <c r="J168" s="19"/>
    </row>
    <row r="169" spans="1:10" x14ac:dyDescent="0.25">
      <c r="A169" s="1">
        <f t="shared" si="2"/>
        <v>96</v>
      </c>
      <c r="B169" s="31" t="s">
        <v>284</v>
      </c>
      <c r="C169" s="58" t="s">
        <v>285</v>
      </c>
      <c r="D169" s="53" t="s">
        <v>335</v>
      </c>
      <c r="E169" s="73"/>
      <c r="F169" s="74"/>
      <c r="G169" s="16"/>
      <c r="H169" s="1"/>
      <c r="I169" s="1"/>
      <c r="J169" s="19"/>
    </row>
    <row r="170" spans="1:10" x14ac:dyDescent="0.25">
      <c r="A170" s="1">
        <f t="shared" si="2"/>
        <v>97</v>
      </c>
      <c r="B170" s="31" t="s">
        <v>286</v>
      </c>
      <c r="C170" s="58" t="s">
        <v>287</v>
      </c>
      <c r="D170" s="53" t="s">
        <v>335</v>
      </c>
      <c r="E170" s="73"/>
      <c r="F170" s="74"/>
      <c r="G170" s="16"/>
      <c r="H170" s="1"/>
      <c r="I170" s="1"/>
      <c r="J170" s="19"/>
    </row>
    <row r="171" spans="1:10" x14ac:dyDescent="0.25">
      <c r="A171" s="1">
        <f t="shared" si="2"/>
        <v>98</v>
      </c>
      <c r="B171" s="31" t="s">
        <v>288</v>
      </c>
      <c r="C171" s="58" t="s">
        <v>289</v>
      </c>
      <c r="D171" s="53" t="s">
        <v>335</v>
      </c>
      <c r="E171" s="73"/>
      <c r="F171" s="74"/>
      <c r="G171" s="16"/>
      <c r="H171" s="1"/>
      <c r="I171" s="1"/>
      <c r="J171" s="19"/>
    </row>
    <row r="172" spans="1:10" x14ac:dyDescent="0.25">
      <c r="A172" s="1">
        <f t="shared" si="2"/>
        <v>99</v>
      </c>
      <c r="B172" s="31" t="s">
        <v>290</v>
      </c>
      <c r="C172" s="58" t="s">
        <v>291</v>
      </c>
      <c r="D172" s="53" t="s">
        <v>335</v>
      </c>
      <c r="E172" s="73"/>
      <c r="F172" s="74"/>
      <c r="G172" s="16"/>
      <c r="H172" s="1"/>
      <c r="I172" s="1"/>
      <c r="J172" s="19"/>
    </row>
    <row r="173" spans="1:10" x14ac:dyDescent="0.25">
      <c r="A173" s="1">
        <f t="shared" si="2"/>
        <v>100</v>
      </c>
      <c r="B173" s="31" t="s">
        <v>292</v>
      </c>
      <c r="C173" s="58" t="s">
        <v>293</v>
      </c>
      <c r="D173" s="53" t="s">
        <v>335</v>
      </c>
      <c r="E173" s="73"/>
      <c r="F173" s="74"/>
      <c r="G173" s="16"/>
      <c r="H173" s="1"/>
      <c r="I173" s="1"/>
      <c r="J173" s="19"/>
    </row>
    <row r="174" spans="1:10" x14ac:dyDescent="0.25">
      <c r="A174" s="1">
        <f t="shared" si="2"/>
        <v>101</v>
      </c>
      <c r="B174" s="31" t="s">
        <v>294</v>
      </c>
      <c r="C174" s="58" t="s">
        <v>295</v>
      </c>
      <c r="D174" s="53" t="s">
        <v>335</v>
      </c>
      <c r="E174" s="73"/>
      <c r="F174" s="74"/>
      <c r="G174" s="16"/>
      <c r="H174" s="1"/>
      <c r="I174" s="1"/>
      <c r="J174" s="19"/>
    </row>
    <row r="175" spans="1:10" x14ac:dyDescent="0.25">
      <c r="A175" s="1">
        <f t="shared" si="2"/>
        <v>102</v>
      </c>
      <c r="B175" s="31" t="s">
        <v>296</v>
      </c>
      <c r="C175" s="58" t="s">
        <v>297</v>
      </c>
      <c r="D175" s="53" t="s">
        <v>335</v>
      </c>
      <c r="E175" s="73"/>
      <c r="F175" s="74"/>
      <c r="G175" s="16"/>
      <c r="H175" s="1"/>
      <c r="I175" s="1"/>
      <c r="J175" s="19"/>
    </row>
    <row r="176" spans="1:10" x14ac:dyDescent="0.25">
      <c r="A176" s="1">
        <f t="shared" si="2"/>
        <v>103</v>
      </c>
      <c r="B176" s="31" t="s">
        <v>298</v>
      </c>
      <c r="C176" s="58" t="s">
        <v>299</v>
      </c>
      <c r="D176" s="53" t="s">
        <v>335</v>
      </c>
      <c r="E176" s="73"/>
      <c r="F176" s="74"/>
      <c r="G176" s="16"/>
      <c r="H176" s="1"/>
      <c r="I176" s="1"/>
      <c r="J176" s="19"/>
    </row>
    <row r="177" spans="1:10" x14ac:dyDescent="0.25">
      <c r="A177" s="1">
        <f t="shared" si="2"/>
        <v>104</v>
      </c>
      <c r="B177" s="31" t="s">
        <v>300</v>
      </c>
      <c r="C177" s="58" t="s">
        <v>301</v>
      </c>
      <c r="D177" s="53" t="s">
        <v>335</v>
      </c>
      <c r="E177" s="73"/>
      <c r="F177" s="74"/>
      <c r="G177" s="16"/>
      <c r="H177" s="1"/>
      <c r="I177" s="1"/>
      <c r="J177" s="19"/>
    </row>
    <row r="178" spans="1:10" x14ac:dyDescent="0.25">
      <c r="A178" s="1">
        <f t="shared" si="2"/>
        <v>105</v>
      </c>
      <c r="B178" s="31" t="s">
        <v>302</v>
      </c>
      <c r="C178" s="58" t="s">
        <v>303</v>
      </c>
      <c r="D178" s="53" t="s">
        <v>335</v>
      </c>
      <c r="E178" s="73"/>
      <c r="F178" s="74"/>
      <c r="G178" s="16"/>
      <c r="H178" s="1"/>
      <c r="I178" s="1"/>
      <c r="J178" s="19"/>
    </row>
    <row r="179" spans="1:10" x14ac:dyDescent="0.25">
      <c r="A179" s="1">
        <f t="shared" si="2"/>
        <v>106</v>
      </c>
      <c r="B179" s="31" t="s">
        <v>304</v>
      </c>
      <c r="C179" s="58" t="s">
        <v>305</v>
      </c>
      <c r="D179" s="53" t="s">
        <v>335</v>
      </c>
      <c r="E179" s="73"/>
      <c r="F179" s="74"/>
      <c r="G179" s="16"/>
      <c r="H179" s="1"/>
      <c r="I179" s="1"/>
      <c r="J179" s="19"/>
    </row>
    <row r="180" spans="1:10" x14ac:dyDescent="0.25">
      <c r="A180" s="1">
        <f t="shared" si="2"/>
        <v>107</v>
      </c>
      <c r="B180" s="31" t="s">
        <v>306</v>
      </c>
      <c r="C180" s="58" t="s">
        <v>307</v>
      </c>
      <c r="D180" s="53" t="s">
        <v>335</v>
      </c>
      <c r="E180" s="73"/>
      <c r="F180" s="74"/>
      <c r="G180" s="16"/>
      <c r="H180" s="1"/>
      <c r="I180" s="1"/>
      <c r="J180" s="19"/>
    </row>
    <row r="181" spans="1:10" x14ac:dyDescent="0.25">
      <c r="A181" s="1">
        <f t="shared" si="2"/>
        <v>108</v>
      </c>
      <c r="B181" s="31" t="s">
        <v>308</v>
      </c>
      <c r="C181" s="58" t="s">
        <v>309</v>
      </c>
      <c r="D181" s="53" t="s">
        <v>335</v>
      </c>
      <c r="E181" s="73"/>
      <c r="F181" s="74"/>
      <c r="G181" s="16"/>
      <c r="H181" s="1"/>
      <c r="I181" s="1"/>
      <c r="J181" s="19"/>
    </row>
    <row r="182" spans="1:10" x14ac:dyDescent="0.25">
      <c r="A182" s="1">
        <f t="shared" si="2"/>
        <v>109</v>
      </c>
      <c r="B182" s="31" t="s">
        <v>310</v>
      </c>
      <c r="C182" s="58" t="s">
        <v>311</v>
      </c>
      <c r="D182" s="53" t="s">
        <v>334</v>
      </c>
      <c r="E182" s="73"/>
      <c r="F182" s="74"/>
      <c r="G182" s="16"/>
      <c r="H182" s="1"/>
      <c r="I182" s="1"/>
      <c r="J182" s="19"/>
    </row>
    <row r="183" spans="1:10" x14ac:dyDescent="0.25">
      <c r="A183" s="1">
        <f t="shared" si="2"/>
        <v>110</v>
      </c>
      <c r="B183" s="31" t="s">
        <v>312</v>
      </c>
      <c r="C183" s="58" t="s">
        <v>313</v>
      </c>
      <c r="D183" s="53" t="s">
        <v>335</v>
      </c>
      <c r="E183" s="73"/>
      <c r="F183" s="74"/>
      <c r="G183" s="16"/>
      <c r="H183" s="1"/>
      <c r="I183" s="1"/>
      <c r="J183" s="19"/>
    </row>
    <row r="184" spans="1:10" x14ac:dyDescent="0.25">
      <c r="A184" s="1">
        <f t="shared" si="2"/>
        <v>111</v>
      </c>
      <c r="B184" s="31" t="s">
        <v>314</v>
      </c>
      <c r="C184" s="58" t="s">
        <v>315</v>
      </c>
      <c r="D184" s="53" t="s">
        <v>335</v>
      </c>
      <c r="E184" s="73"/>
      <c r="F184" s="74"/>
      <c r="G184" s="16"/>
      <c r="H184" s="1"/>
      <c r="I184" s="1"/>
      <c r="J184" s="19"/>
    </row>
    <row r="185" spans="1:10" x14ac:dyDescent="0.25">
      <c r="A185" s="1">
        <f t="shared" si="2"/>
        <v>112</v>
      </c>
      <c r="B185" s="31" t="s">
        <v>316</v>
      </c>
      <c r="C185" s="58" t="s">
        <v>317</v>
      </c>
      <c r="D185" s="53" t="s">
        <v>335</v>
      </c>
      <c r="E185" s="73"/>
      <c r="F185" s="74"/>
      <c r="G185" s="16"/>
      <c r="H185" s="1"/>
      <c r="I185" s="1"/>
      <c r="J185" s="19"/>
    </row>
    <row r="186" spans="1:10" x14ac:dyDescent="0.25">
      <c r="A186" s="1">
        <f t="shared" si="2"/>
        <v>113</v>
      </c>
      <c r="B186" s="31" t="s">
        <v>318</v>
      </c>
      <c r="C186" s="58" t="s">
        <v>319</v>
      </c>
      <c r="D186" s="53" t="s">
        <v>335</v>
      </c>
      <c r="E186" s="73"/>
      <c r="F186" s="74"/>
      <c r="G186" s="16"/>
      <c r="H186" s="1"/>
      <c r="I186" s="1"/>
      <c r="J186" s="19"/>
    </row>
    <row r="187" spans="1:10" x14ac:dyDescent="0.25">
      <c r="A187" s="1">
        <f t="shared" si="2"/>
        <v>114</v>
      </c>
      <c r="B187" s="31" t="s">
        <v>320</v>
      </c>
      <c r="C187" s="58" t="s">
        <v>321</v>
      </c>
      <c r="D187" s="53" t="s">
        <v>335</v>
      </c>
      <c r="E187" s="73"/>
      <c r="F187" s="74"/>
      <c r="G187" s="16"/>
      <c r="H187" s="1"/>
      <c r="I187" s="1"/>
      <c r="J187" s="19"/>
    </row>
    <row r="188" spans="1:10" x14ac:dyDescent="0.25">
      <c r="A188" s="1">
        <f t="shared" si="2"/>
        <v>115</v>
      </c>
      <c r="B188" s="31" t="s">
        <v>322</v>
      </c>
      <c r="C188" s="58" t="s">
        <v>323</v>
      </c>
      <c r="D188" s="53" t="s">
        <v>335</v>
      </c>
      <c r="E188" s="73"/>
      <c r="F188" s="74"/>
      <c r="G188" s="16"/>
      <c r="H188" s="1"/>
      <c r="I188" s="1"/>
      <c r="J188" s="19"/>
    </row>
    <row r="189" spans="1:10" x14ac:dyDescent="0.25">
      <c r="A189" s="1">
        <f t="shared" si="2"/>
        <v>116</v>
      </c>
      <c r="B189" s="31" t="s">
        <v>324</v>
      </c>
      <c r="C189" s="58" t="s">
        <v>325</v>
      </c>
      <c r="D189" s="53" t="s">
        <v>335</v>
      </c>
      <c r="E189" s="73"/>
      <c r="F189" s="74"/>
      <c r="G189" s="16"/>
      <c r="H189" s="1"/>
      <c r="I189" s="1"/>
      <c r="J189" s="19"/>
    </row>
    <row r="190" spans="1:10" x14ac:dyDescent="0.25">
      <c r="A190" s="1">
        <f t="shared" si="2"/>
        <v>117</v>
      </c>
      <c r="B190" s="31" t="s">
        <v>326</v>
      </c>
      <c r="C190" s="58" t="s">
        <v>327</v>
      </c>
      <c r="D190" s="53" t="s">
        <v>335</v>
      </c>
      <c r="E190" s="73"/>
      <c r="F190" s="74"/>
      <c r="G190" s="16"/>
      <c r="H190" s="1"/>
      <c r="I190" s="1"/>
      <c r="J190" s="19"/>
    </row>
    <row r="191" spans="1:10" x14ac:dyDescent="0.25">
      <c r="A191" s="1">
        <f t="shared" si="2"/>
        <v>118</v>
      </c>
      <c r="B191" s="31" t="s">
        <v>328</v>
      </c>
      <c r="C191" s="58" t="s">
        <v>329</v>
      </c>
      <c r="D191" s="53" t="s">
        <v>335</v>
      </c>
      <c r="E191" s="73"/>
      <c r="F191" s="74"/>
      <c r="G191" s="16"/>
      <c r="H191" s="1"/>
      <c r="I191" s="1"/>
      <c r="J191" s="19"/>
    </row>
    <row r="192" spans="1:10" x14ac:dyDescent="0.25">
      <c r="A192" s="1">
        <f t="shared" si="2"/>
        <v>119</v>
      </c>
      <c r="B192" s="31" t="s">
        <v>330</v>
      </c>
      <c r="C192" s="58" t="s">
        <v>331</v>
      </c>
      <c r="D192" s="53" t="s">
        <v>335</v>
      </c>
      <c r="E192" s="73"/>
      <c r="F192" s="74"/>
      <c r="G192" s="16"/>
      <c r="H192" s="1"/>
      <c r="I192" s="1"/>
      <c r="J192" s="19"/>
    </row>
    <row r="193" spans="1:10" x14ac:dyDescent="0.25">
      <c r="A193" s="1">
        <f t="shared" si="2"/>
        <v>120</v>
      </c>
      <c r="B193" s="31" t="s">
        <v>332</v>
      </c>
      <c r="C193" s="58" t="s">
        <v>333</v>
      </c>
      <c r="D193" s="53" t="s">
        <v>335</v>
      </c>
      <c r="E193" s="73"/>
      <c r="F193" s="74"/>
      <c r="G193" s="16"/>
      <c r="H193" s="1"/>
      <c r="I193" s="1"/>
      <c r="J193" s="19"/>
    </row>
    <row r="194" spans="1:10" x14ac:dyDescent="0.25">
      <c r="A194" s="1">
        <f t="shared" si="2"/>
        <v>121</v>
      </c>
      <c r="B194" s="31"/>
      <c r="C194" s="58"/>
      <c r="D194" s="53"/>
      <c r="E194" s="73"/>
      <c r="F194" s="74"/>
      <c r="G194" s="16"/>
      <c r="H194" s="1"/>
      <c r="I194" s="1"/>
      <c r="J194" s="19"/>
    </row>
    <row r="195" spans="1:10" x14ac:dyDescent="0.25">
      <c r="A195" s="1">
        <f t="shared" si="2"/>
        <v>122</v>
      </c>
      <c r="B195" s="31"/>
      <c r="C195" s="58"/>
      <c r="D195" s="53"/>
      <c r="E195" s="73"/>
      <c r="F195" s="74"/>
      <c r="G195" s="16"/>
      <c r="H195" s="1"/>
      <c r="I195" s="1"/>
      <c r="J195" s="19"/>
    </row>
    <row r="196" spans="1:10" x14ac:dyDescent="0.25">
      <c r="A196" s="1">
        <f t="shared" si="2"/>
        <v>123</v>
      </c>
      <c r="B196" s="31"/>
      <c r="C196" s="58"/>
      <c r="D196" s="53"/>
      <c r="E196" s="73"/>
      <c r="F196" s="74"/>
      <c r="G196" s="16"/>
      <c r="H196" s="1"/>
      <c r="I196" s="1"/>
      <c r="J196" s="19"/>
    </row>
    <row r="197" spans="1:10" x14ac:dyDescent="0.25">
      <c r="A197" s="1">
        <f t="shared" si="2"/>
        <v>124</v>
      </c>
      <c r="B197" s="31"/>
      <c r="C197" s="58"/>
      <c r="D197" s="53"/>
      <c r="E197" s="73"/>
      <c r="F197" s="74"/>
      <c r="G197" s="16"/>
      <c r="H197" s="1"/>
      <c r="I197" s="1"/>
      <c r="J197" s="19"/>
    </row>
    <row r="198" spans="1:10" x14ac:dyDescent="0.25">
      <c r="A198" s="1">
        <f t="shared" si="2"/>
        <v>125</v>
      </c>
      <c r="B198" s="31"/>
      <c r="C198" s="58"/>
      <c r="D198" s="52"/>
      <c r="E198" s="79"/>
      <c r="F198" s="74"/>
      <c r="G198" s="16"/>
      <c r="H198" s="1"/>
      <c r="I198" s="1"/>
      <c r="J198" s="19"/>
    </row>
    <row r="199" spans="1:10" x14ac:dyDescent="0.25">
      <c r="A199" s="1">
        <f t="shared" si="2"/>
        <v>126</v>
      </c>
      <c r="B199" s="31"/>
      <c r="C199" s="58"/>
      <c r="D199" s="52"/>
      <c r="E199" s="79"/>
      <c r="F199" s="74"/>
      <c r="G199" s="16"/>
      <c r="H199" s="1"/>
      <c r="I199" s="1"/>
      <c r="J199" s="19"/>
    </row>
    <row r="200" spans="1:10" x14ac:dyDescent="0.25">
      <c r="A200" s="1">
        <f t="shared" si="2"/>
        <v>127</v>
      </c>
      <c r="B200" s="31"/>
      <c r="C200" s="58"/>
      <c r="D200" s="52"/>
      <c r="E200" s="79"/>
      <c r="F200" s="74"/>
      <c r="G200" s="16"/>
      <c r="H200" s="1"/>
      <c r="I200" s="1"/>
      <c r="J200" s="19"/>
    </row>
    <row r="201" spans="1:10" x14ac:dyDescent="0.25">
      <c r="A201" s="1">
        <f t="shared" si="2"/>
        <v>128</v>
      </c>
      <c r="B201" s="31"/>
      <c r="C201" s="58"/>
      <c r="D201" s="15"/>
      <c r="E201" s="80"/>
      <c r="F201" s="81"/>
      <c r="G201" s="16"/>
      <c r="H201" s="1"/>
      <c r="I201" s="1"/>
      <c r="J201" s="19"/>
    </row>
    <row r="202" spans="1:10" x14ac:dyDescent="0.25">
      <c r="A202" s="1">
        <f t="shared" si="2"/>
        <v>129</v>
      </c>
      <c r="B202" s="31"/>
      <c r="C202" s="58"/>
      <c r="D202" s="15"/>
      <c r="E202" s="80"/>
      <c r="F202" s="81"/>
      <c r="G202" s="16"/>
      <c r="H202" s="1"/>
      <c r="I202" s="1"/>
      <c r="J202" s="19"/>
    </row>
    <row r="203" spans="1:10" x14ac:dyDescent="0.25">
      <c r="A203" s="1">
        <f>A202+1</f>
        <v>130</v>
      </c>
      <c r="B203" s="31"/>
      <c r="C203" s="58"/>
      <c r="D203" s="15"/>
      <c r="E203" s="80"/>
      <c r="F203" s="81"/>
      <c r="G203" s="16"/>
      <c r="H203" s="1"/>
      <c r="I203" s="1"/>
      <c r="J203" s="19"/>
    </row>
    <row r="204" spans="1:10" x14ac:dyDescent="0.25">
      <c r="A204" s="1">
        <f>A70+1</f>
        <v>69</v>
      </c>
      <c r="B204" s="59"/>
      <c r="C204" s="60"/>
      <c r="D204" s="15"/>
      <c r="E204" s="80"/>
      <c r="F204" s="81"/>
      <c r="G204" s="16"/>
      <c r="H204" s="1"/>
      <c r="I204" s="1"/>
      <c r="J204" s="19"/>
    </row>
    <row r="205" spans="1:10" ht="15.75" thickBot="1" x14ac:dyDescent="0.3">
      <c r="A205" s="1">
        <f>A203+1</f>
        <v>131</v>
      </c>
      <c r="B205" s="31"/>
      <c r="C205" s="58"/>
      <c r="D205" s="15"/>
      <c r="E205" s="80"/>
      <c r="F205" s="82"/>
      <c r="G205" s="20"/>
      <c r="H205" s="21"/>
      <c r="I205" s="21"/>
      <c r="J205" s="22"/>
    </row>
  </sheetData>
  <mergeCells count="1">
    <mergeCell ref="A1:C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06"/>
  <sheetViews>
    <sheetView workbookViewId="0">
      <selection activeCell="K7" sqref="K7"/>
    </sheetView>
  </sheetViews>
  <sheetFormatPr baseColWidth="10" defaultRowHeight="15" x14ac:dyDescent="0.25"/>
  <cols>
    <col min="1" max="1" width="4.5703125" customWidth="1"/>
    <col min="2" max="2" width="38.85546875" customWidth="1"/>
    <col min="7" max="7" width="6.7109375" customWidth="1"/>
  </cols>
  <sheetData>
    <row r="1" spans="1:10" ht="15.75" thickBot="1" x14ac:dyDescent="0.3">
      <c r="A1" s="378" t="s">
        <v>8</v>
      </c>
      <c r="B1" s="378"/>
      <c r="C1" s="378"/>
      <c r="D1" s="42"/>
      <c r="E1" s="43"/>
      <c r="F1" s="43" t="s">
        <v>97</v>
      </c>
      <c r="G1" s="43"/>
      <c r="H1" s="44"/>
    </row>
    <row r="2" spans="1:10" ht="15.75" thickBot="1" x14ac:dyDescent="0.3">
      <c r="A2" s="49" t="s">
        <v>0</v>
      </c>
      <c r="B2" s="49" t="s">
        <v>0</v>
      </c>
      <c r="C2" s="48" t="s">
        <v>1</v>
      </c>
      <c r="D2" s="10" t="s">
        <v>2</v>
      </c>
      <c r="E2" s="71" t="s">
        <v>336</v>
      </c>
      <c r="F2" s="72" t="s">
        <v>337</v>
      </c>
      <c r="G2" s="50" t="s">
        <v>10</v>
      </c>
      <c r="H2" s="51" t="s">
        <v>11</v>
      </c>
      <c r="I2" s="17" t="s">
        <v>12</v>
      </c>
      <c r="J2" s="18" t="s">
        <v>13</v>
      </c>
    </row>
    <row r="3" spans="1:10" ht="15.75" thickBot="1" x14ac:dyDescent="0.3">
      <c r="A3" s="6" t="s">
        <v>3</v>
      </c>
      <c r="B3" s="1" t="s">
        <v>14</v>
      </c>
      <c r="C3" s="4" t="s">
        <v>100</v>
      </c>
      <c r="D3" s="53" t="s">
        <v>5</v>
      </c>
      <c r="E3" s="73"/>
      <c r="F3" s="74"/>
      <c r="G3" s="16"/>
      <c r="H3" s="68"/>
      <c r="I3" s="1"/>
      <c r="J3" s="19"/>
    </row>
    <row r="4" spans="1:10" x14ac:dyDescent="0.25">
      <c r="A4" s="1">
        <v>1</v>
      </c>
      <c r="B4" s="1" t="s">
        <v>15</v>
      </c>
      <c r="C4" s="4"/>
      <c r="D4" s="53" t="s">
        <v>5</v>
      </c>
      <c r="E4" s="73"/>
      <c r="F4" s="74"/>
      <c r="G4" s="16"/>
      <c r="H4" s="1"/>
      <c r="I4" s="1"/>
      <c r="J4" s="19"/>
    </row>
    <row r="5" spans="1:10" x14ac:dyDescent="0.25">
      <c r="A5" s="1">
        <f>A4+1</f>
        <v>2</v>
      </c>
      <c r="B5" s="3" t="s">
        <v>16</v>
      </c>
      <c r="C5" s="5" t="s">
        <v>101</v>
      </c>
      <c r="D5" s="54" t="s">
        <v>5</v>
      </c>
      <c r="E5" s="73"/>
      <c r="F5" s="74"/>
      <c r="G5" s="16"/>
      <c r="H5" s="1"/>
      <c r="I5" s="1"/>
      <c r="J5" s="19"/>
    </row>
    <row r="6" spans="1:10" x14ac:dyDescent="0.25">
      <c r="A6" s="1">
        <f t="shared" ref="A6:A69" si="0">A5+1</f>
        <v>3</v>
      </c>
      <c r="B6" s="1" t="s">
        <v>17</v>
      </c>
      <c r="C6" s="4"/>
      <c r="D6" s="53" t="s">
        <v>5</v>
      </c>
      <c r="E6" s="73"/>
      <c r="F6" s="74"/>
      <c r="G6" s="16"/>
      <c r="H6" s="1"/>
      <c r="I6" s="1"/>
      <c r="J6" s="19"/>
    </row>
    <row r="7" spans="1:10" x14ac:dyDescent="0.25">
      <c r="A7" s="1">
        <f t="shared" si="0"/>
        <v>4</v>
      </c>
      <c r="B7" s="1" t="s">
        <v>18</v>
      </c>
      <c r="C7" s="4"/>
      <c r="D7" s="53" t="s">
        <v>5</v>
      </c>
      <c r="E7" s="73"/>
      <c r="F7" s="74"/>
      <c r="G7" s="16"/>
      <c r="H7" s="1"/>
      <c r="I7" s="1"/>
      <c r="J7" s="19"/>
    </row>
    <row r="8" spans="1:10" x14ac:dyDescent="0.25">
      <c r="A8" s="1">
        <f t="shared" si="0"/>
        <v>5</v>
      </c>
      <c r="B8" s="1" t="s">
        <v>19</v>
      </c>
      <c r="C8" s="4"/>
      <c r="D8" s="53" t="s">
        <v>5</v>
      </c>
      <c r="E8" s="73"/>
      <c r="F8" s="74"/>
      <c r="G8" s="16"/>
      <c r="H8" s="1"/>
      <c r="I8" s="1"/>
      <c r="J8" s="19"/>
    </row>
    <row r="9" spans="1:10" x14ac:dyDescent="0.25">
      <c r="A9" s="1">
        <f t="shared" si="0"/>
        <v>6</v>
      </c>
      <c r="B9" s="1" t="s">
        <v>20</v>
      </c>
      <c r="C9" s="4"/>
      <c r="D9" s="53" t="s">
        <v>5</v>
      </c>
      <c r="E9" s="73"/>
      <c r="F9" s="74"/>
      <c r="G9" s="16"/>
      <c r="H9" s="1"/>
      <c r="I9" s="1"/>
      <c r="J9" s="19"/>
    </row>
    <row r="10" spans="1:10" x14ac:dyDescent="0.25">
      <c r="A10" s="1">
        <f t="shared" si="0"/>
        <v>7</v>
      </c>
      <c r="B10" s="1" t="s">
        <v>21</v>
      </c>
      <c r="C10" s="4"/>
      <c r="D10" s="53" t="s">
        <v>5</v>
      </c>
      <c r="E10" s="73"/>
      <c r="F10" s="74"/>
      <c r="G10" s="16"/>
      <c r="H10" s="1"/>
      <c r="I10" s="1"/>
      <c r="J10" s="19"/>
    </row>
    <row r="11" spans="1:10" x14ac:dyDescent="0.25">
      <c r="A11" s="1">
        <f t="shared" si="0"/>
        <v>8</v>
      </c>
      <c r="B11" s="1" t="s">
        <v>22</v>
      </c>
      <c r="C11" s="4"/>
      <c r="D11" s="53" t="s">
        <v>5</v>
      </c>
      <c r="E11" s="73"/>
      <c r="F11" s="74"/>
      <c r="G11" s="16"/>
      <c r="H11" s="1"/>
      <c r="I11" s="1"/>
      <c r="J11" s="19"/>
    </row>
    <row r="12" spans="1:10" x14ac:dyDescent="0.25">
      <c r="A12" s="1">
        <f t="shared" si="0"/>
        <v>9</v>
      </c>
      <c r="B12" s="1" t="s">
        <v>23</v>
      </c>
      <c r="C12" s="4"/>
      <c r="D12" s="53" t="s">
        <v>5</v>
      </c>
      <c r="E12" s="73"/>
      <c r="F12" s="74"/>
      <c r="G12" s="16"/>
      <c r="H12" s="1"/>
      <c r="I12" s="1"/>
      <c r="J12" s="19"/>
    </row>
    <row r="13" spans="1:10" x14ac:dyDescent="0.25">
      <c r="A13" s="1">
        <f t="shared" si="0"/>
        <v>10</v>
      </c>
      <c r="B13" s="1" t="s">
        <v>24</v>
      </c>
      <c r="C13" s="4"/>
      <c r="D13" s="53" t="s">
        <v>5</v>
      </c>
      <c r="E13" s="73"/>
      <c r="F13" s="74"/>
      <c r="G13" s="16"/>
      <c r="H13" s="1"/>
      <c r="I13" s="1"/>
      <c r="J13" s="19"/>
    </row>
    <row r="14" spans="1:10" x14ac:dyDescent="0.25">
      <c r="A14" s="1">
        <f t="shared" si="0"/>
        <v>11</v>
      </c>
      <c r="B14" s="1" t="s">
        <v>25</v>
      </c>
      <c r="C14" s="4"/>
      <c r="D14" s="53" t="s">
        <v>5</v>
      </c>
      <c r="E14" s="73"/>
      <c r="F14" s="74"/>
      <c r="G14" s="16"/>
      <c r="H14" s="1"/>
      <c r="I14" s="1"/>
      <c r="J14" s="19"/>
    </row>
    <row r="15" spans="1:10" x14ac:dyDescent="0.25">
      <c r="A15" s="1">
        <f t="shared" si="0"/>
        <v>12</v>
      </c>
      <c r="B15" s="1" t="s">
        <v>26</v>
      </c>
      <c r="C15" s="4"/>
      <c r="D15" s="53" t="s">
        <v>5</v>
      </c>
      <c r="E15" s="73"/>
      <c r="F15" s="74"/>
      <c r="G15" s="16"/>
      <c r="H15" s="1"/>
      <c r="I15" s="1"/>
      <c r="J15" s="19"/>
    </row>
    <row r="16" spans="1:10" x14ac:dyDescent="0.25">
      <c r="A16" s="1">
        <f t="shared" si="0"/>
        <v>13</v>
      </c>
      <c r="B16" s="1" t="s">
        <v>27</v>
      </c>
      <c r="C16" s="4"/>
      <c r="D16" s="53" t="s">
        <v>5</v>
      </c>
      <c r="E16" s="73"/>
      <c r="F16" s="74"/>
      <c r="G16" s="16"/>
      <c r="H16" s="1"/>
      <c r="I16" s="1"/>
      <c r="J16" s="19"/>
    </row>
    <row r="17" spans="1:10" x14ac:dyDescent="0.25">
      <c r="A17" s="1">
        <f t="shared" si="0"/>
        <v>14</v>
      </c>
      <c r="B17" s="31" t="s">
        <v>28</v>
      </c>
      <c r="C17" s="4"/>
      <c r="D17" s="53" t="s">
        <v>5</v>
      </c>
      <c r="E17" s="73"/>
      <c r="F17" s="74"/>
      <c r="G17" s="16"/>
      <c r="H17" s="1"/>
      <c r="I17" s="1"/>
      <c r="J17" s="19"/>
    </row>
    <row r="18" spans="1:10" x14ac:dyDescent="0.25">
      <c r="A18" s="1">
        <f t="shared" si="0"/>
        <v>15</v>
      </c>
      <c r="B18" s="1" t="s">
        <v>29</v>
      </c>
      <c r="C18" s="4"/>
      <c r="D18" s="53" t="s">
        <v>7</v>
      </c>
      <c r="E18" s="73"/>
      <c r="F18" s="74"/>
      <c r="G18" s="16"/>
      <c r="H18" s="1"/>
      <c r="I18" s="1"/>
      <c r="J18" s="19"/>
    </row>
    <row r="19" spans="1:10" x14ac:dyDescent="0.25">
      <c r="A19" s="1">
        <f t="shared" si="0"/>
        <v>16</v>
      </c>
      <c r="B19" s="1" t="s">
        <v>30</v>
      </c>
      <c r="C19" s="4"/>
      <c r="D19" s="53" t="s">
        <v>5</v>
      </c>
      <c r="E19" s="73"/>
      <c r="F19" s="74"/>
      <c r="G19" s="16"/>
      <c r="H19" s="1"/>
      <c r="I19" s="1"/>
      <c r="J19" s="19"/>
    </row>
    <row r="20" spans="1:10" x14ac:dyDescent="0.25">
      <c r="A20" s="1">
        <f t="shared" si="0"/>
        <v>17</v>
      </c>
      <c r="B20" s="1" t="s">
        <v>31</v>
      </c>
      <c r="C20" s="4"/>
      <c r="D20" s="53" t="s">
        <v>5</v>
      </c>
      <c r="E20" s="73"/>
      <c r="F20" s="74"/>
      <c r="G20" s="16"/>
      <c r="H20" s="1"/>
      <c r="I20" s="1"/>
      <c r="J20" s="19"/>
    </row>
    <row r="21" spans="1:10" x14ac:dyDescent="0.25">
      <c r="A21" s="1">
        <f t="shared" si="0"/>
        <v>18</v>
      </c>
      <c r="B21" s="1" t="s">
        <v>32</v>
      </c>
      <c r="C21" s="4"/>
      <c r="D21" s="53" t="s">
        <v>5</v>
      </c>
      <c r="E21" s="73"/>
      <c r="F21" s="74"/>
      <c r="G21" s="16"/>
      <c r="H21" s="1"/>
      <c r="I21" s="1"/>
      <c r="J21" s="19"/>
    </row>
    <row r="22" spans="1:10" x14ac:dyDescent="0.25">
      <c r="A22" s="1">
        <f t="shared" si="0"/>
        <v>19</v>
      </c>
      <c r="B22" s="1" t="s">
        <v>33</v>
      </c>
      <c r="C22" s="4"/>
      <c r="D22" s="53" t="s">
        <v>5</v>
      </c>
      <c r="E22" s="73"/>
      <c r="F22" s="74"/>
      <c r="G22" s="16"/>
      <c r="H22" s="1"/>
      <c r="I22" s="1"/>
      <c r="J22" s="19"/>
    </row>
    <row r="23" spans="1:10" x14ac:dyDescent="0.25">
      <c r="A23" s="1">
        <f t="shared" si="0"/>
        <v>20</v>
      </c>
      <c r="B23" s="1" t="s">
        <v>34</v>
      </c>
      <c r="C23" s="4"/>
      <c r="D23" s="53" t="s">
        <v>5</v>
      </c>
      <c r="E23" s="73"/>
      <c r="F23" s="74"/>
      <c r="G23" s="16"/>
      <c r="H23" s="1"/>
      <c r="I23" s="1"/>
      <c r="J23" s="19"/>
    </row>
    <row r="24" spans="1:10" x14ac:dyDescent="0.25">
      <c r="A24" s="1">
        <f t="shared" si="0"/>
        <v>21</v>
      </c>
      <c r="B24" s="1" t="s">
        <v>35</v>
      </c>
      <c r="C24" s="4"/>
      <c r="D24" s="53" t="s">
        <v>5</v>
      </c>
      <c r="E24" s="73"/>
      <c r="F24" s="74"/>
      <c r="G24" s="16"/>
      <c r="H24" s="1"/>
      <c r="I24" s="1"/>
      <c r="J24" s="19"/>
    </row>
    <row r="25" spans="1:10" x14ac:dyDescent="0.25">
      <c r="A25" s="1">
        <f t="shared" si="0"/>
        <v>22</v>
      </c>
      <c r="B25" s="1" t="s">
        <v>36</v>
      </c>
      <c r="C25" s="4"/>
      <c r="D25" s="53" t="s">
        <v>5</v>
      </c>
      <c r="E25" s="73"/>
      <c r="F25" s="74"/>
      <c r="G25" s="16"/>
      <c r="H25" s="1"/>
      <c r="I25" s="1"/>
      <c r="J25" s="19"/>
    </row>
    <row r="26" spans="1:10" x14ac:dyDescent="0.25">
      <c r="A26" s="1">
        <f t="shared" si="0"/>
        <v>23</v>
      </c>
      <c r="B26" s="1" t="s">
        <v>37</v>
      </c>
      <c r="C26" s="4"/>
      <c r="D26" s="53" t="s">
        <v>5</v>
      </c>
      <c r="E26" s="73"/>
      <c r="F26" s="74"/>
      <c r="G26" s="16"/>
      <c r="H26" s="1"/>
      <c r="I26" s="1"/>
      <c r="J26" s="19"/>
    </row>
    <row r="27" spans="1:10" x14ac:dyDescent="0.25">
      <c r="A27" s="1">
        <f t="shared" si="0"/>
        <v>24</v>
      </c>
      <c r="B27" s="1" t="s">
        <v>38</v>
      </c>
      <c r="C27" s="4"/>
      <c r="D27" s="53" t="s">
        <v>5</v>
      </c>
      <c r="E27" s="73"/>
      <c r="F27" s="74"/>
      <c r="G27" s="16"/>
      <c r="H27" s="1"/>
      <c r="I27" s="1"/>
      <c r="J27" s="19"/>
    </row>
    <row r="28" spans="1:10" x14ac:dyDescent="0.25">
      <c r="A28" s="1">
        <f t="shared" si="0"/>
        <v>25</v>
      </c>
      <c r="B28" s="1" t="s">
        <v>39</v>
      </c>
      <c r="C28" s="4"/>
      <c r="D28" s="53" t="s">
        <v>5</v>
      </c>
      <c r="E28" s="73"/>
      <c r="F28" s="74"/>
      <c r="G28" s="16"/>
      <c r="H28" s="1"/>
      <c r="I28" s="1"/>
      <c r="J28" s="19"/>
    </row>
    <row r="29" spans="1:10" x14ac:dyDescent="0.25">
      <c r="A29" s="1">
        <f t="shared" si="0"/>
        <v>26</v>
      </c>
      <c r="B29" s="1" t="s">
        <v>40</v>
      </c>
      <c r="C29" s="4"/>
      <c r="D29" s="53" t="s">
        <v>5</v>
      </c>
      <c r="E29" s="73"/>
      <c r="F29" s="74"/>
      <c r="G29" s="16"/>
      <c r="H29" s="1"/>
      <c r="I29" s="1"/>
      <c r="J29" s="19"/>
    </row>
    <row r="30" spans="1:10" x14ac:dyDescent="0.25">
      <c r="A30" s="1">
        <f t="shared" si="0"/>
        <v>27</v>
      </c>
      <c r="B30" s="1" t="s">
        <v>41</v>
      </c>
      <c r="C30" s="4"/>
      <c r="D30" s="53" t="s">
        <v>5</v>
      </c>
      <c r="E30" s="73"/>
      <c r="F30" s="74"/>
      <c r="G30" s="16"/>
      <c r="H30" s="1"/>
      <c r="I30" s="1"/>
      <c r="J30" s="19"/>
    </row>
    <row r="31" spans="1:10" x14ac:dyDescent="0.25">
      <c r="A31" s="1">
        <f t="shared" si="0"/>
        <v>28</v>
      </c>
      <c r="B31" s="1" t="s">
        <v>42</v>
      </c>
      <c r="C31" s="4"/>
      <c r="D31" s="53" t="s">
        <v>5</v>
      </c>
      <c r="E31" s="73"/>
      <c r="F31" s="74"/>
      <c r="G31" s="16"/>
      <c r="H31" s="1"/>
      <c r="I31" s="1"/>
      <c r="J31" s="19"/>
    </row>
    <row r="32" spans="1:10" x14ac:dyDescent="0.25">
      <c r="A32" s="1">
        <f t="shared" si="0"/>
        <v>29</v>
      </c>
      <c r="B32" s="1" t="s">
        <v>43</v>
      </c>
      <c r="C32" s="4"/>
      <c r="D32" s="53" t="s">
        <v>5</v>
      </c>
      <c r="E32" s="73"/>
      <c r="F32" s="74"/>
      <c r="G32" s="16"/>
      <c r="H32" s="1"/>
      <c r="I32" s="1"/>
      <c r="J32" s="19"/>
    </row>
    <row r="33" spans="1:10" x14ac:dyDescent="0.25">
      <c r="A33" s="1">
        <f t="shared" si="0"/>
        <v>30</v>
      </c>
      <c r="B33" s="1" t="s">
        <v>44</v>
      </c>
      <c r="C33" s="4"/>
      <c r="D33" s="53" t="s">
        <v>5</v>
      </c>
      <c r="E33" s="73"/>
      <c r="F33" s="74"/>
      <c r="G33" s="16"/>
      <c r="H33" s="1"/>
      <c r="I33" s="1"/>
      <c r="J33" s="19"/>
    </row>
    <row r="34" spans="1:10" x14ac:dyDescent="0.25">
      <c r="A34" s="1">
        <f t="shared" si="0"/>
        <v>31</v>
      </c>
      <c r="B34" s="1" t="s">
        <v>45</v>
      </c>
      <c r="C34" s="4"/>
      <c r="D34" s="53" t="s">
        <v>5</v>
      </c>
      <c r="E34" s="73"/>
      <c r="F34" s="74"/>
      <c r="G34" s="16"/>
      <c r="H34" s="1"/>
      <c r="I34" s="1"/>
      <c r="J34" s="19"/>
    </row>
    <row r="35" spans="1:10" x14ac:dyDescent="0.25">
      <c r="A35" s="1">
        <f t="shared" si="0"/>
        <v>32</v>
      </c>
      <c r="B35" s="1" t="s">
        <v>46</v>
      </c>
      <c r="C35" s="4"/>
      <c r="D35" s="53" t="s">
        <v>5</v>
      </c>
      <c r="E35" s="73"/>
      <c r="F35" s="74"/>
      <c r="G35" s="16"/>
      <c r="H35" s="1"/>
      <c r="I35" s="1"/>
      <c r="J35" s="19"/>
    </row>
    <row r="36" spans="1:10" x14ac:dyDescent="0.25">
      <c r="A36" s="1">
        <f t="shared" si="0"/>
        <v>33</v>
      </c>
      <c r="B36" s="1" t="s">
        <v>47</v>
      </c>
      <c r="C36" s="4"/>
      <c r="D36" s="53" t="s">
        <v>5</v>
      </c>
      <c r="E36" s="73"/>
      <c r="F36" s="74"/>
      <c r="G36" s="16"/>
      <c r="H36" s="1"/>
      <c r="I36" s="1"/>
      <c r="J36" s="19"/>
    </row>
    <row r="37" spans="1:10" x14ac:dyDescent="0.25">
      <c r="A37" s="1">
        <f t="shared" si="0"/>
        <v>34</v>
      </c>
      <c r="B37" s="1" t="s">
        <v>48</v>
      </c>
      <c r="C37" s="4"/>
      <c r="D37" s="53" t="s">
        <v>5</v>
      </c>
      <c r="E37" s="73"/>
      <c r="F37" s="74"/>
      <c r="G37" s="16"/>
      <c r="H37" s="1"/>
      <c r="I37" s="1"/>
      <c r="J37" s="19"/>
    </row>
    <row r="38" spans="1:10" x14ac:dyDescent="0.25">
      <c r="A38" s="1">
        <f t="shared" si="0"/>
        <v>35</v>
      </c>
      <c r="B38" s="1" t="s">
        <v>49</v>
      </c>
      <c r="C38" s="4"/>
      <c r="D38" s="53" t="s">
        <v>5</v>
      </c>
      <c r="E38" s="73"/>
      <c r="F38" s="74"/>
      <c r="G38" s="16"/>
      <c r="H38" s="1"/>
      <c r="I38" s="1"/>
      <c r="J38" s="19"/>
    </row>
    <row r="39" spans="1:10" x14ac:dyDescent="0.25">
      <c r="A39" s="1">
        <f t="shared" si="0"/>
        <v>36</v>
      </c>
      <c r="B39" s="1" t="s">
        <v>50</v>
      </c>
      <c r="C39" s="4"/>
      <c r="D39" s="53" t="s">
        <v>5</v>
      </c>
      <c r="E39" s="73"/>
      <c r="F39" s="74"/>
      <c r="G39" s="16"/>
      <c r="H39" s="1"/>
      <c r="I39" s="1"/>
      <c r="J39" s="19"/>
    </row>
    <row r="40" spans="1:10" x14ac:dyDescent="0.25">
      <c r="A40" s="1">
        <f t="shared" si="0"/>
        <v>37</v>
      </c>
      <c r="B40" s="3" t="s">
        <v>51</v>
      </c>
      <c r="C40" s="5"/>
      <c r="D40" s="54" t="s">
        <v>5</v>
      </c>
      <c r="E40" s="73"/>
      <c r="F40" s="74"/>
      <c r="G40" s="16"/>
      <c r="H40" s="1"/>
      <c r="I40" s="1"/>
      <c r="J40" s="19"/>
    </row>
    <row r="41" spans="1:10" x14ac:dyDescent="0.25">
      <c r="A41" s="1">
        <f t="shared" si="0"/>
        <v>38</v>
      </c>
      <c r="B41" s="1" t="s">
        <v>52</v>
      </c>
      <c r="C41" s="4"/>
      <c r="D41" s="53" t="s">
        <v>5</v>
      </c>
      <c r="E41" s="73"/>
      <c r="F41" s="74"/>
      <c r="G41" s="16"/>
      <c r="H41" s="1"/>
      <c r="I41" s="1"/>
      <c r="J41" s="19"/>
    </row>
    <row r="42" spans="1:10" x14ac:dyDescent="0.25">
      <c r="A42" s="1">
        <f t="shared" si="0"/>
        <v>39</v>
      </c>
      <c r="B42" s="1" t="s">
        <v>53</v>
      </c>
      <c r="C42" s="4"/>
      <c r="D42" s="53" t="s">
        <v>5</v>
      </c>
      <c r="E42" s="73"/>
      <c r="F42" s="74"/>
      <c r="G42" s="16"/>
      <c r="H42" s="1"/>
      <c r="I42" s="1"/>
      <c r="J42" s="19"/>
    </row>
    <row r="43" spans="1:10" x14ac:dyDescent="0.25">
      <c r="A43" s="1">
        <f t="shared" si="0"/>
        <v>40</v>
      </c>
      <c r="B43" s="1" t="s">
        <v>54</v>
      </c>
      <c r="C43" s="4"/>
      <c r="D43" s="53" t="s">
        <v>5</v>
      </c>
      <c r="E43" s="73"/>
      <c r="F43" s="74"/>
      <c r="G43" s="16"/>
      <c r="H43" s="1"/>
      <c r="I43" s="1"/>
      <c r="J43" s="19"/>
    </row>
    <row r="44" spans="1:10" x14ac:dyDescent="0.25">
      <c r="A44" s="1">
        <f t="shared" si="0"/>
        <v>41</v>
      </c>
      <c r="B44" s="1" t="s">
        <v>55</v>
      </c>
      <c r="C44" s="4"/>
      <c r="D44" s="53" t="s">
        <v>5</v>
      </c>
      <c r="E44" s="73"/>
      <c r="F44" s="74"/>
      <c r="G44" s="16"/>
      <c r="H44" s="1"/>
      <c r="I44" s="1"/>
      <c r="J44" s="19"/>
    </row>
    <row r="45" spans="1:10" x14ac:dyDescent="0.25">
      <c r="A45" s="1">
        <f t="shared" si="0"/>
        <v>42</v>
      </c>
      <c r="B45" s="1" t="s">
        <v>56</v>
      </c>
      <c r="C45" s="4"/>
      <c r="D45" s="53" t="s">
        <v>5</v>
      </c>
      <c r="E45" s="73"/>
      <c r="F45" s="74"/>
      <c r="G45" s="16"/>
      <c r="H45" s="1"/>
      <c r="I45" s="1"/>
      <c r="J45" s="19"/>
    </row>
    <row r="46" spans="1:10" x14ac:dyDescent="0.25">
      <c r="A46" s="1">
        <f t="shared" si="0"/>
        <v>43</v>
      </c>
      <c r="B46" s="1" t="s">
        <v>57</v>
      </c>
      <c r="C46" s="4"/>
      <c r="D46" s="53" t="s">
        <v>5</v>
      </c>
      <c r="E46" s="73"/>
      <c r="F46" s="74"/>
      <c r="G46" s="16"/>
      <c r="H46" s="1"/>
      <c r="I46" s="1"/>
      <c r="J46" s="19"/>
    </row>
    <row r="47" spans="1:10" x14ac:dyDescent="0.25">
      <c r="A47" s="1">
        <f t="shared" si="0"/>
        <v>44</v>
      </c>
      <c r="B47" s="1" t="s">
        <v>58</v>
      </c>
      <c r="C47" s="4"/>
      <c r="D47" s="53" t="s">
        <v>5</v>
      </c>
      <c r="E47" s="73"/>
      <c r="F47" s="74"/>
      <c r="G47" s="16"/>
      <c r="H47" s="1"/>
      <c r="I47" s="1"/>
      <c r="J47" s="19"/>
    </row>
    <row r="48" spans="1:10" x14ac:dyDescent="0.25">
      <c r="A48" s="1">
        <f t="shared" si="0"/>
        <v>45</v>
      </c>
      <c r="B48" s="1" t="s">
        <v>59</v>
      </c>
      <c r="C48" s="4"/>
      <c r="D48" s="53" t="s">
        <v>5</v>
      </c>
      <c r="E48" s="73"/>
      <c r="F48" s="74"/>
      <c r="G48" s="16"/>
      <c r="H48" s="1"/>
      <c r="I48" s="1"/>
      <c r="J48" s="19"/>
    </row>
    <row r="49" spans="1:10" x14ac:dyDescent="0.25">
      <c r="A49" s="1">
        <f t="shared" si="0"/>
        <v>46</v>
      </c>
      <c r="B49" s="1" t="s">
        <v>40</v>
      </c>
      <c r="C49" s="4"/>
      <c r="D49" s="53" t="s">
        <v>5</v>
      </c>
      <c r="E49" s="73"/>
      <c r="F49" s="74"/>
      <c r="G49" s="16"/>
      <c r="H49" s="1"/>
      <c r="I49" s="1"/>
      <c r="J49" s="19"/>
    </row>
    <row r="50" spans="1:10" x14ac:dyDescent="0.25">
      <c r="A50" s="1">
        <f t="shared" si="0"/>
        <v>47</v>
      </c>
      <c r="B50" s="1" t="s">
        <v>60</v>
      </c>
      <c r="C50" s="4"/>
      <c r="D50" s="53" t="s">
        <v>5</v>
      </c>
      <c r="E50" s="73"/>
      <c r="F50" s="74"/>
      <c r="G50" s="16"/>
      <c r="H50" s="1"/>
      <c r="I50" s="1"/>
      <c r="J50" s="19"/>
    </row>
    <row r="51" spans="1:10" x14ac:dyDescent="0.25">
      <c r="A51" s="1">
        <f t="shared" si="0"/>
        <v>48</v>
      </c>
      <c r="B51" s="1" t="s">
        <v>61</v>
      </c>
      <c r="C51" s="4"/>
      <c r="D51" s="53" t="s">
        <v>5</v>
      </c>
      <c r="E51" s="73"/>
      <c r="F51" s="74"/>
      <c r="G51" s="16"/>
      <c r="H51" s="1"/>
      <c r="I51" s="1"/>
      <c r="J51" s="19"/>
    </row>
    <row r="52" spans="1:10" x14ac:dyDescent="0.25">
      <c r="A52" s="1">
        <f t="shared" si="0"/>
        <v>49</v>
      </c>
      <c r="B52" s="3" t="s">
        <v>62</v>
      </c>
      <c r="C52" s="5"/>
      <c r="D52" s="54" t="s">
        <v>5</v>
      </c>
      <c r="E52" s="73"/>
      <c r="F52" s="74"/>
      <c r="G52" s="16"/>
      <c r="H52" s="1"/>
      <c r="I52" s="1"/>
      <c r="J52" s="19"/>
    </row>
    <row r="53" spans="1:10" x14ac:dyDescent="0.25">
      <c r="A53" s="1">
        <f t="shared" si="0"/>
        <v>50</v>
      </c>
      <c r="B53" s="1" t="s">
        <v>63</v>
      </c>
      <c r="C53" s="4"/>
      <c r="D53" s="53" t="s">
        <v>5</v>
      </c>
      <c r="E53" s="73"/>
      <c r="F53" s="74"/>
      <c r="G53" s="16"/>
      <c r="H53" s="1"/>
      <c r="I53" s="1"/>
      <c r="J53" s="19"/>
    </row>
    <row r="54" spans="1:10" x14ac:dyDescent="0.25">
      <c r="A54" s="1">
        <f t="shared" si="0"/>
        <v>51</v>
      </c>
      <c r="B54" s="1" t="s">
        <v>64</v>
      </c>
      <c r="C54" s="4"/>
      <c r="D54" s="53" t="s">
        <v>5</v>
      </c>
      <c r="E54" s="73"/>
      <c r="F54" s="74"/>
      <c r="G54" s="16"/>
      <c r="H54" s="1"/>
      <c r="I54" s="1"/>
      <c r="J54" s="19"/>
    </row>
    <row r="55" spans="1:10" x14ac:dyDescent="0.25">
      <c r="A55" s="1">
        <f t="shared" si="0"/>
        <v>52</v>
      </c>
      <c r="B55" s="1" t="s">
        <v>65</v>
      </c>
      <c r="C55" s="4"/>
      <c r="D55" s="53" t="s">
        <v>5</v>
      </c>
      <c r="E55" s="73"/>
      <c r="F55" s="74"/>
      <c r="G55" s="16"/>
      <c r="H55" s="1"/>
      <c r="I55" s="1"/>
      <c r="J55" s="19"/>
    </row>
    <row r="56" spans="1:10" x14ac:dyDescent="0.25">
      <c r="A56" s="1">
        <f t="shared" si="0"/>
        <v>53</v>
      </c>
      <c r="B56" s="1" t="s">
        <v>66</v>
      </c>
      <c r="C56" s="4"/>
      <c r="D56" s="53" t="s">
        <v>5</v>
      </c>
      <c r="E56" s="73"/>
      <c r="F56" s="74"/>
      <c r="G56" s="16"/>
      <c r="H56" s="1"/>
      <c r="I56" s="1"/>
      <c r="J56" s="19"/>
    </row>
    <row r="57" spans="1:10" x14ac:dyDescent="0.25">
      <c r="A57" s="1">
        <f t="shared" si="0"/>
        <v>54</v>
      </c>
      <c r="B57" s="1" t="s">
        <v>67</v>
      </c>
      <c r="C57" s="4"/>
      <c r="D57" s="53" t="s">
        <v>5</v>
      </c>
      <c r="E57" s="73"/>
      <c r="F57" s="74"/>
      <c r="G57" s="16"/>
      <c r="H57" s="1"/>
      <c r="I57" s="1"/>
      <c r="J57" s="19"/>
    </row>
    <row r="58" spans="1:10" x14ac:dyDescent="0.25">
      <c r="A58" s="1">
        <f t="shared" si="0"/>
        <v>55</v>
      </c>
      <c r="B58" s="1" t="s">
        <v>68</v>
      </c>
      <c r="C58" s="4"/>
      <c r="D58" s="53" t="s">
        <v>5</v>
      </c>
      <c r="E58" s="73"/>
      <c r="F58" s="74"/>
      <c r="G58" s="16"/>
      <c r="H58" s="1"/>
      <c r="I58" s="1"/>
      <c r="J58" s="19"/>
    </row>
    <row r="59" spans="1:10" x14ac:dyDescent="0.25">
      <c r="A59" s="1">
        <f t="shared" si="0"/>
        <v>56</v>
      </c>
      <c r="B59" s="1" t="s">
        <v>69</v>
      </c>
      <c r="C59" s="4"/>
      <c r="D59" s="53" t="s">
        <v>5</v>
      </c>
      <c r="E59" s="73"/>
      <c r="F59" s="74"/>
      <c r="G59" s="16"/>
      <c r="H59" s="1"/>
      <c r="I59" s="1"/>
      <c r="J59" s="19"/>
    </row>
    <row r="60" spans="1:10" x14ac:dyDescent="0.25">
      <c r="A60" s="1">
        <f t="shared" si="0"/>
        <v>57</v>
      </c>
      <c r="B60" s="1" t="s">
        <v>70</v>
      </c>
      <c r="C60" s="4" t="s">
        <v>90</v>
      </c>
      <c r="D60" s="53" t="s">
        <v>5</v>
      </c>
      <c r="E60" s="73"/>
      <c r="F60" s="74"/>
      <c r="G60" s="16"/>
      <c r="H60" s="1"/>
      <c r="I60" s="1"/>
      <c r="J60" s="19"/>
    </row>
    <row r="61" spans="1:10" x14ac:dyDescent="0.25">
      <c r="A61" s="1">
        <f t="shared" si="0"/>
        <v>58</v>
      </c>
      <c r="B61" s="1" t="s">
        <v>71</v>
      </c>
      <c r="C61" s="4" t="s">
        <v>89</v>
      </c>
      <c r="D61" s="53" t="s">
        <v>5</v>
      </c>
      <c r="E61" s="73"/>
      <c r="F61" s="74"/>
      <c r="G61" s="16"/>
      <c r="H61" s="1"/>
      <c r="I61" s="1"/>
      <c r="J61" s="19"/>
    </row>
    <row r="62" spans="1:10" x14ac:dyDescent="0.25">
      <c r="A62" s="1">
        <f t="shared" si="0"/>
        <v>59</v>
      </c>
      <c r="B62" s="1" t="s">
        <v>72</v>
      </c>
      <c r="C62" s="4" t="s">
        <v>88</v>
      </c>
      <c r="D62" s="53" t="s">
        <v>5</v>
      </c>
      <c r="E62" s="73"/>
      <c r="F62" s="74"/>
      <c r="G62" s="16"/>
      <c r="H62" s="1"/>
      <c r="I62" s="1"/>
      <c r="J62" s="19"/>
    </row>
    <row r="63" spans="1:10" x14ac:dyDescent="0.25">
      <c r="A63" s="1">
        <f t="shared" si="0"/>
        <v>60</v>
      </c>
      <c r="B63" s="1" t="s">
        <v>73</v>
      </c>
      <c r="C63" s="4" t="s">
        <v>87</v>
      </c>
      <c r="D63" s="53" t="s">
        <v>5</v>
      </c>
      <c r="E63" s="73"/>
      <c r="F63" s="74"/>
      <c r="G63" s="16"/>
      <c r="H63" s="1"/>
      <c r="I63" s="1"/>
      <c r="J63" s="19"/>
    </row>
    <row r="64" spans="1:10" x14ac:dyDescent="0.25">
      <c r="A64" s="1">
        <f t="shared" si="0"/>
        <v>61</v>
      </c>
      <c r="B64" s="1" t="s">
        <v>74</v>
      </c>
      <c r="C64" s="4" t="s">
        <v>86</v>
      </c>
      <c r="D64" s="53" t="s">
        <v>5</v>
      </c>
      <c r="E64" s="73"/>
      <c r="F64" s="74"/>
      <c r="G64" s="16"/>
      <c r="H64" s="1"/>
      <c r="I64" s="1"/>
      <c r="J64" s="19"/>
    </row>
    <row r="65" spans="1:10" x14ac:dyDescent="0.25">
      <c r="A65" s="1">
        <f t="shared" si="0"/>
        <v>62</v>
      </c>
      <c r="B65" s="1" t="s">
        <v>84</v>
      </c>
      <c r="C65" s="4" t="s">
        <v>85</v>
      </c>
      <c r="D65" s="53" t="s">
        <v>5</v>
      </c>
      <c r="E65" s="73"/>
      <c r="F65" s="74"/>
      <c r="G65" s="16"/>
      <c r="H65" s="1"/>
      <c r="I65" s="1"/>
      <c r="J65" s="19"/>
    </row>
    <row r="66" spans="1:10" x14ac:dyDescent="0.25">
      <c r="A66" s="1">
        <f t="shared" si="0"/>
        <v>63</v>
      </c>
      <c r="B66" s="1" t="s">
        <v>75</v>
      </c>
      <c r="C66" s="4" t="s">
        <v>83</v>
      </c>
      <c r="D66" s="53" t="s">
        <v>5</v>
      </c>
      <c r="E66" s="73"/>
      <c r="F66" s="74"/>
      <c r="G66" s="16"/>
      <c r="H66" s="1"/>
      <c r="I66" s="1"/>
      <c r="J66" s="19"/>
    </row>
    <row r="67" spans="1:10" x14ac:dyDescent="0.25">
      <c r="A67" s="1">
        <f t="shared" si="0"/>
        <v>64</v>
      </c>
      <c r="B67" s="1" t="s">
        <v>76</v>
      </c>
      <c r="C67" s="4" t="s">
        <v>82</v>
      </c>
      <c r="D67" s="53" t="s">
        <v>5</v>
      </c>
      <c r="E67" s="73"/>
      <c r="F67" s="74"/>
      <c r="G67" s="16"/>
      <c r="H67" s="1"/>
      <c r="I67" s="1"/>
      <c r="J67" s="19"/>
    </row>
    <row r="68" spans="1:10" x14ac:dyDescent="0.25">
      <c r="A68" s="1">
        <f t="shared" si="0"/>
        <v>65</v>
      </c>
      <c r="B68" s="1" t="s">
        <v>77</v>
      </c>
      <c r="C68" s="4" t="s">
        <v>6</v>
      </c>
      <c r="D68" s="53" t="s">
        <v>5</v>
      </c>
      <c r="E68" s="73"/>
      <c r="F68" s="74"/>
      <c r="G68" s="16"/>
      <c r="H68" s="1"/>
      <c r="I68" s="1"/>
      <c r="J68" s="19"/>
    </row>
    <row r="69" spans="1:10" x14ac:dyDescent="0.25">
      <c r="A69" s="1">
        <f t="shared" si="0"/>
        <v>66</v>
      </c>
      <c r="B69" s="1" t="s">
        <v>78</v>
      </c>
      <c r="C69" s="4" t="s">
        <v>79</v>
      </c>
      <c r="D69" s="53" t="s">
        <v>5</v>
      </c>
      <c r="E69" s="73"/>
      <c r="F69" s="74"/>
      <c r="G69" s="16"/>
      <c r="H69" s="1"/>
      <c r="I69" s="1"/>
      <c r="J69" s="19"/>
    </row>
    <row r="70" spans="1:10" x14ac:dyDescent="0.25">
      <c r="A70" s="1">
        <f>A69+1</f>
        <v>67</v>
      </c>
      <c r="B70" s="1" t="s">
        <v>80</v>
      </c>
      <c r="C70" s="4" t="s">
        <v>81</v>
      </c>
      <c r="D70" s="53" t="s">
        <v>5</v>
      </c>
      <c r="E70" s="73"/>
      <c r="F70" s="74"/>
      <c r="G70" s="16"/>
      <c r="H70" s="1"/>
      <c r="I70" s="1"/>
      <c r="J70" s="19"/>
    </row>
    <row r="71" spans="1:10" x14ac:dyDescent="0.25">
      <c r="A71" s="1">
        <f>A70+1</f>
        <v>68</v>
      </c>
      <c r="B71" s="1"/>
      <c r="C71" s="4"/>
      <c r="D71" s="53" t="s">
        <v>5</v>
      </c>
      <c r="E71" s="73"/>
      <c r="F71" s="74"/>
      <c r="G71" s="16"/>
      <c r="H71" s="1"/>
      <c r="I71" s="1"/>
      <c r="J71" s="19"/>
    </row>
    <row r="72" spans="1:10" ht="15.75" thickBot="1" x14ac:dyDescent="0.3">
      <c r="A72" s="1">
        <f>A205+1</f>
        <v>70</v>
      </c>
      <c r="B72" s="8"/>
      <c r="C72" s="2"/>
      <c r="D72" s="55" t="s">
        <v>5</v>
      </c>
      <c r="E72" s="73"/>
      <c r="F72" s="75"/>
      <c r="G72" s="61"/>
      <c r="H72" s="13"/>
      <c r="I72" s="13"/>
      <c r="J72" s="24"/>
    </row>
    <row r="73" spans="1:10" ht="15.75" thickBot="1" x14ac:dyDescent="0.3">
      <c r="A73" s="13">
        <f>A72+1</f>
        <v>71</v>
      </c>
      <c r="B73" s="63" t="s">
        <v>0</v>
      </c>
      <c r="C73" s="65" t="s">
        <v>1</v>
      </c>
      <c r="D73" s="14" t="s">
        <v>2</v>
      </c>
      <c r="E73" s="76"/>
      <c r="F73" s="77"/>
      <c r="G73" s="11"/>
      <c r="H73" s="66"/>
      <c r="I73" s="66"/>
      <c r="J73" s="67"/>
    </row>
    <row r="74" spans="1:10" ht="15.75" thickBot="1" x14ac:dyDescent="0.3">
      <c r="A74" s="64" t="s">
        <v>3</v>
      </c>
      <c r="B74" s="56" t="s">
        <v>102</v>
      </c>
      <c r="C74" s="57" t="s">
        <v>103</v>
      </c>
      <c r="D74" s="54" t="s">
        <v>334</v>
      </c>
      <c r="E74" s="73"/>
      <c r="F74" s="78"/>
      <c r="G74" s="62"/>
      <c r="H74" s="3"/>
      <c r="I74" s="3"/>
      <c r="J74" s="23"/>
    </row>
    <row r="75" spans="1:10" x14ac:dyDescent="0.25">
      <c r="A75" s="3">
        <v>1</v>
      </c>
      <c r="B75" s="31" t="s">
        <v>104</v>
      </c>
      <c r="C75" s="58"/>
      <c r="D75" s="53" t="s">
        <v>334</v>
      </c>
      <c r="E75" s="73"/>
      <c r="F75" s="74"/>
      <c r="G75" s="16"/>
      <c r="H75" s="1"/>
      <c r="I75" s="1"/>
      <c r="J75" s="19"/>
    </row>
    <row r="76" spans="1:10" x14ac:dyDescent="0.25">
      <c r="A76" s="1">
        <f t="shared" ref="A76:A139" si="1">A75+1</f>
        <v>2</v>
      </c>
      <c r="B76" s="31" t="s">
        <v>105</v>
      </c>
      <c r="C76" s="58" t="s">
        <v>106</v>
      </c>
      <c r="D76" s="53" t="s">
        <v>335</v>
      </c>
      <c r="E76" s="73"/>
      <c r="F76" s="74"/>
      <c r="G76" s="16"/>
      <c r="H76" s="1"/>
      <c r="I76" s="1"/>
      <c r="J76" s="19"/>
    </row>
    <row r="77" spans="1:10" x14ac:dyDescent="0.25">
      <c r="A77" s="1">
        <f t="shared" si="1"/>
        <v>3</v>
      </c>
      <c r="B77" s="31" t="s">
        <v>107</v>
      </c>
      <c r="C77" s="58"/>
      <c r="D77" s="53" t="s">
        <v>335</v>
      </c>
      <c r="E77" s="73"/>
      <c r="F77" s="74"/>
      <c r="G77" s="16"/>
      <c r="H77" s="1"/>
      <c r="I77" s="1"/>
      <c r="J77" s="19"/>
    </row>
    <row r="78" spans="1:10" x14ac:dyDescent="0.25">
      <c r="A78" s="1">
        <f t="shared" si="1"/>
        <v>4</v>
      </c>
      <c r="B78" s="31" t="s">
        <v>108</v>
      </c>
      <c r="C78" s="58" t="s">
        <v>111</v>
      </c>
      <c r="D78" s="53" t="s">
        <v>334</v>
      </c>
      <c r="E78" s="73"/>
      <c r="F78" s="74"/>
      <c r="G78" s="16"/>
      <c r="H78" s="1"/>
      <c r="I78" s="1"/>
      <c r="J78" s="19"/>
    </row>
    <row r="79" spans="1:10" x14ac:dyDescent="0.25">
      <c r="A79" s="1">
        <f t="shared" si="1"/>
        <v>5</v>
      </c>
      <c r="B79" s="31" t="s">
        <v>109</v>
      </c>
      <c r="C79" s="58" t="s">
        <v>110</v>
      </c>
      <c r="D79" s="53" t="s">
        <v>334</v>
      </c>
      <c r="E79" s="73"/>
      <c r="F79" s="74"/>
      <c r="G79" s="16"/>
      <c r="H79" s="1"/>
      <c r="I79" s="1"/>
      <c r="J79" s="19"/>
    </row>
    <row r="80" spans="1:10" x14ac:dyDescent="0.25">
      <c r="A80" s="1">
        <f t="shared" si="1"/>
        <v>6</v>
      </c>
      <c r="B80" s="31" t="s">
        <v>112</v>
      </c>
      <c r="C80" s="58" t="s">
        <v>113</v>
      </c>
      <c r="D80" s="53" t="s">
        <v>335</v>
      </c>
      <c r="E80" s="73"/>
      <c r="F80" s="74"/>
      <c r="G80" s="16"/>
      <c r="H80" s="1"/>
      <c r="I80" s="1"/>
      <c r="J80" s="19"/>
    </row>
    <row r="81" spans="1:10" x14ac:dyDescent="0.25">
      <c r="A81" s="1">
        <f t="shared" si="1"/>
        <v>7</v>
      </c>
      <c r="B81" s="31" t="s">
        <v>114</v>
      </c>
      <c r="C81" s="58" t="s">
        <v>115</v>
      </c>
      <c r="D81" s="53" t="s">
        <v>335</v>
      </c>
      <c r="E81" s="73"/>
      <c r="F81" s="74"/>
      <c r="G81" s="16"/>
      <c r="H81" s="1"/>
      <c r="I81" s="1"/>
      <c r="J81" s="19"/>
    </row>
    <row r="82" spans="1:10" x14ac:dyDescent="0.25">
      <c r="A82" s="1">
        <f t="shared" si="1"/>
        <v>8</v>
      </c>
      <c r="B82" s="31" t="s">
        <v>116</v>
      </c>
      <c r="C82" s="58" t="s">
        <v>106</v>
      </c>
      <c r="D82" s="53" t="s">
        <v>334</v>
      </c>
      <c r="E82" s="73"/>
      <c r="F82" s="74"/>
      <c r="G82" s="16"/>
      <c r="H82" s="1"/>
      <c r="I82" s="1"/>
      <c r="J82" s="19"/>
    </row>
    <row r="83" spans="1:10" x14ac:dyDescent="0.25">
      <c r="A83" s="1">
        <f t="shared" si="1"/>
        <v>9</v>
      </c>
      <c r="B83" s="31" t="s">
        <v>117</v>
      </c>
      <c r="C83" s="58" t="s">
        <v>118</v>
      </c>
      <c r="D83" s="53" t="s">
        <v>335</v>
      </c>
      <c r="E83" s="73"/>
      <c r="F83" s="74"/>
      <c r="G83" s="16"/>
      <c r="H83" s="1"/>
      <c r="I83" s="1"/>
      <c r="J83" s="19"/>
    </row>
    <row r="84" spans="1:10" x14ac:dyDescent="0.25">
      <c r="A84" s="1">
        <f t="shared" si="1"/>
        <v>10</v>
      </c>
      <c r="B84" s="31" t="s">
        <v>119</v>
      </c>
      <c r="C84" s="58" t="s">
        <v>120</v>
      </c>
      <c r="D84" s="53" t="s">
        <v>335</v>
      </c>
      <c r="E84" s="73"/>
      <c r="F84" s="74"/>
      <c r="G84" s="16"/>
      <c r="H84" s="1"/>
      <c r="I84" s="1"/>
      <c r="J84" s="19"/>
    </row>
    <row r="85" spans="1:10" x14ac:dyDescent="0.25">
      <c r="A85" s="1">
        <f t="shared" si="1"/>
        <v>11</v>
      </c>
      <c r="B85" s="31" t="s">
        <v>121</v>
      </c>
      <c r="C85" s="58" t="s">
        <v>122</v>
      </c>
      <c r="D85" s="53" t="s">
        <v>335</v>
      </c>
      <c r="E85" s="73"/>
      <c r="F85" s="74"/>
      <c r="G85" s="16"/>
      <c r="H85" s="1"/>
      <c r="I85" s="1"/>
      <c r="J85" s="19"/>
    </row>
    <row r="86" spans="1:10" x14ac:dyDescent="0.25">
      <c r="A86" s="1">
        <f t="shared" si="1"/>
        <v>12</v>
      </c>
      <c r="B86" s="31" t="s">
        <v>123</v>
      </c>
      <c r="C86" s="58" t="s">
        <v>124</v>
      </c>
      <c r="D86" s="53" t="s">
        <v>335</v>
      </c>
      <c r="E86" s="73"/>
      <c r="F86" s="74"/>
      <c r="G86" s="16"/>
      <c r="H86" s="1"/>
      <c r="I86" s="1"/>
      <c r="J86" s="19"/>
    </row>
    <row r="87" spans="1:10" x14ac:dyDescent="0.25">
      <c r="A87" s="1">
        <f t="shared" si="1"/>
        <v>13</v>
      </c>
      <c r="B87" s="31" t="s">
        <v>125</v>
      </c>
      <c r="C87" s="58" t="s">
        <v>126</v>
      </c>
      <c r="D87" s="53" t="s">
        <v>335</v>
      </c>
      <c r="E87" s="73"/>
      <c r="F87" s="74"/>
      <c r="G87" s="16"/>
      <c r="H87" s="1"/>
      <c r="I87" s="1"/>
      <c r="J87" s="19"/>
    </row>
    <row r="88" spans="1:10" x14ac:dyDescent="0.25">
      <c r="A88" s="1">
        <f t="shared" si="1"/>
        <v>14</v>
      </c>
      <c r="B88" s="31" t="s">
        <v>127</v>
      </c>
      <c r="C88" s="58" t="s">
        <v>128</v>
      </c>
      <c r="D88" s="53" t="s">
        <v>335</v>
      </c>
      <c r="E88" s="73"/>
      <c r="F88" s="74"/>
      <c r="G88" s="16"/>
      <c r="H88" s="1"/>
      <c r="I88" s="1"/>
      <c r="J88" s="19"/>
    </row>
    <row r="89" spans="1:10" x14ac:dyDescent="0.25">
      <c r="A89" s="1">
        <f t="shared" si="1"/>
        <v>15</v>
      </c>
      <c r="B89" s="31" t="s">
        <v>129</v>
      </c>
      <c r="C89" s="58" t="s">
        <v>130</v>
      </c>
      <c r="D89" s="53" t="s">
        <v>335</v>
      </c>
      <c r="E89" s="73"/>
      <c r="F89" s="74"/>
      <c r="G89" s="16"/>
      <c r="H89" s="1"/>
      <c r="I89" s="1"/>
      <c r="J89" s="19"/>
    </row>
    <row r="90" spans="1:10" x14ac:dyDescent="0.25">
      <c r="A90" s="1">
        <f t="shared" si="1"/>
        <v>16</v>
      </c>
      <c r="B90" s="31" t="s">
        <v>131</v>
      </c>
      <c r="C90" s="58" t="s">
        <v>132</v>
      </c>
      <c r="D90" s="53" t="s">
        <v>335</v>
      </c>
      <c r="E90" s="73"/>
      <c r="F90" s="74"/>
      <c r="G90" s="16"/>
      <c r="H90" s="1"/>
      <c r="I90" s="1"/>
      <c r="J90" s="19"/>
    </row>
    <row r="91" spans="1:10" x14ac:dyDescent="0.25">
      <c r="A91" s="1">
        <f t="shared" si="1"/>
        <v>17</v>
      </c>
      <c r="B91" s="31" t="s">
        <v>133</v>
      </c>
      <c r="C91" s="58" t="s">
        <v>134</v>
      </c>
      <c r="D91" s="53" t="s">
        <v>335</v>
      </c>
      <c r="E91" s="73"/>
      <c r="F91" s="74"/>
      <c r="G91" s="16"/>
      <c r="H91" s="1"/>
      <c r="I91" s="1"/>
      <c r="J91" s="19"/>
    </row>
    <row r="92" spans="1:10" x14ac:dyDescent="0.25">
      <c r="A92" s="1">
        <f t="shared" si="1"/>
        <v>18</v>
      </c>
      <c r="B92" s="31" t="s">
        <v>135</v>
      </c>
      <c r="C92" s="58" t="s">
        <v>136</v>
      </c>
      <c r="D92" s="53" t="s">
        <v>335</v>
      </c>
      <c r="E92" s="73"/>
      <c r="F92" s="74"/>
      <c r="G92" s="16"/>
      <c r="H92" s="1"/>
      <c r="I92" s="1"/>
      <c r="J92" s="19"/>
    </row>
    <row r="93" spans="1:10" x14ac:dyDescent="0.25">
      <c r="A93" s="1">
        <f t="shared" si="1"/>
        <v>19</v>
      </c>
      <c r="B93" s="31" t="s">
        <v>137</v>
      </c>
      <c r="C93" s="58" t="s">
        <v>138</v>
      </c>
      <c r="D93" s="53" t="s">
        <v>335</v>
      </c>
      <c r="E93" s="73"/>
      <c r="F93" s="74"/>
      <c r="G93" s="16"/>
      <c r="H93" s="1"/>
      <c r="I93" s="1"/>
      <c r="J93" s="19"/>
    </row>
    <row r="94" spans="1:10" x14ac:dyDescent="0.25">
      <c r="A94" s="1">
        <f t="shared" si="1"/>
        <v>20</v>
      </c>
      <c r="B94" s="31" t="s">
        <v>139</v>
      </c>
      <c r="C94" s="58" t="s">
        <v>140</v>
      </c>
      <c r="D94" s="53" t="s">
        <v>335</v>
      </c>
      <c r="E94" s="73"/>
      <c r="F94" s="74"/>
      <c r="G94" s="16"/>
      <c r="H94" s="1"/>
      <c r="I94" s="1"/>
      <c r="J94" s="19"/>
    </row>
    <row r="95" spans="1:10" x14ac:dyDescent="0.25">
      <c r="A95" s="1">
        <f t="shared" si="1"/>
        <v>21</v>
      </c>
      <c r="B95" s="31" t="s">
        <v>141</v>
      </c>
      <c r="C95" s="58" t="s">
        <v>142</v>
      </c>
      <c r="D95" s="53" t="s">
        <v>335</v>
      </c>
      <c r="E95" s="73"/>
      <c r="F95" s="74"/>
      <c r="G95" s="16"/>
      <c r="H95" s="1"/>
      <c r="I95" s="1"/>
      <c r="J95" s="19"/>
    </row>
    <row r="96" spans="1:10" x14ac:dyDescent="0.25">
      <c r="A96" s="1">
        <f t="shared" si="1"/>
        <v>22</v>
      </c>
      <c r="B96" s="31" t="s">
        <v>143</v>
      </c>
      <c r="C96" s="58" t="s">
        <v>144</v>
      </c>
      <c r="D96" s="53" t="s">
        <v>335</v>
      </c>
      <c r="E96" s="73"/>
      <c r="F96" s="74"/>
      <c r="G96" s="16"/>
      <c r="H96" s="1"/>
      <c r="I96" s="1"/>
      <c r="J96" s="19"/>
    </row>
    <row r="97" spans="1:10" x14ac:dyDescent="0.25">
      <c r="A97" s="1">
        <f t="shared" si="1"/>
        <v>23</v>
      </c>
      <c r="B97" s="31" t="s">
        <v>145</v>
      </c>
      <c r="C97" s="58" t="s">
        <v>146</v>
      </c>
      <c r="D97" s="53" t="s">
        <v>335</v>
      </c>
      <c r="E97" s="73"/>
      <c r="F97" s="74"/>
      <c r="G97" s="16"/>
      <c r="H97" s="1"/>
      <c r="I97" s="1"/>
      <c r="J97" s="19"/>
    </row>
    <row r="98" spans="1:10" x14ac:dyDescent="0.25">
      <c r="A98" s="1">
        <f t="shared" si="1"/>
        <v>24</v>
      </c>
      <c r="B98" s="31" t="s">
        <v>147</v>
      </c>
      <c r="C98" s="58" t="s">
        <v>148</v>
      </c>
      <c r="D98" s="53" t="s">
        <v>335</v>
      </c>
      <c r="E98" s="73"/>
      <c r="F98" s="74"/>
      <c r="G98" s="16"/>
      <c r="H98" s="1"/>
      <c r="I98" s="1"/>
      <c r="J98" s="19"/>
    </row>
    <row r="99" spans="1:10" x14ac:dyDescent="0.25">
      <c r="A99" s="1">
        <f t="shared" si="1"/>
        <v>25</v>
      </c>
      <c r="B99" s="31" t="s">
        <v>149</v>
      </c>
      <c r="C99" s="58" t="s">
        <v>150</v>
      </c>
      <c r="D99" s="53" t="s">
        <v>335</v>
      </c>
      <c r="E99" s="73"/>
      <c r="F99" s="74"/>
      <c r="G99" s="16"/>
      <c r="H99" s="1"/>
      <c r="I99" s="1"/>
      <c r="J99" s="19"/>
    </row>
    <row r="100" spans="1:10" x14ac:dyDescent="0.25">
      <c r="A100" s="1">
        <f t="shared" si="1"/>
        <v>26</v>
      </c>
      <c r="B100" s="31" t="s">
        <v>151</v>
      </c>
      <c r="C100" s="58" t="s">
        <v>152</v>
      </c>
      <c r="D100" s="53" t="s">
        <v>335</v>
      </c>
      <c r="E100" s="73"/>
      <c r="F100" s="74"/>
      <c r="G100" s="16"/>
      <c r="H100" s="1"/>
      <c r="I100" s="1"/>
      <c r="J100" s="19"/>
    </row>
    <row r="101" spans="1:10" x14ac:dyDescent="0.25">
      <c r="A101" s="1">
        <f t="shared" si="1"/>
        <v>27</v>
      </c>
      <c r="B101" s="31" t="s">
        <v>153</v>
      </c>
      <c r="C101" s="58" t="s">
        <v>154</v>
      </c>
      <c r="D101" s="53" t="s">
        <v>335</v>
      </c>
      <c r="E101" s="73"/>
      <c r="F101" s="74"/>
      <c r="G101" s="16"/>
      <c r="H101" s="1"/>
      <c r="I101" s="1"/>
      <c r="J101" s="19"/>
    </row>
    <row r="102" spans="1:10" x14ac:dyDescent="0.25">
      <c r="A102" s="1">
        <f t="shared" si="1"/>
        <v>28</v>
      </c>
      <c r="B102" s="31" t="s">
        <v>155</v>
      </c>
      <c r="C102" s="58" t="s">
        <v>156</v>
      </c>
      <c r="D102" s="53" t="s">
        <v>335</v>
      </c>
      <c r="E102" s="73"/>
      <c r="F102" s="74"/>
      <c r="G102" s="16"/>
      <c r="H102" s="1"/>
      <c r="I102" s="1"/>
      <c r="J102" s="19"/>
    </row>
    <row r="103" spans="1:10" x14ac:dyDescent="0.25">
      <c r="A103" s="1">
        <f t="shared" si="1"/>
        <v>29</v>
      </c>
      <c r="B103" s="31" t="s">
        <v>157</v>
      </c>
      <c r="C103" s="58" t="s">
        <v>158</v>
      </c>
      <c r="D103" s="53" t="s">
        <v>335</v>
      </c>
      <c r="E103" s="73"/>
      <c r="F103" s="74"/>
      <c r="G103" s="16"/>
      <c r="H103" s="1"/>
      <c r="I103" s="1"/>
      <c r="J103" s="19"/>
    </row>
    <row r="104" spans="1:10" x14ac:dyDescent="0.25">
      <c r="A104" s="1">
        <f t="shared" si="1"/>
        <v>30</v>
      </c>
      <c r="B104" s="31" t="s">
        <v>159</v>
      </c>
      <c r="C104" s="58" t="s">
        <v>160</v>
      </c>
      <c r="D104" s="53" t="s">
        <v>335</v>
      </c>
      <c r="E104" s="73"/>
      <c r="F104" s="74"/>
      <c r="G104" s="16"/>
      <c r="H104" s="1"/>
      <c r="I104" s="1"/>
      <c r="J104" s="19"/>
    </row>
    <row r="105" spans="1:10" x14ac:dyDescent="0.25">
      <c r="A105" s="1">
        <f t="shared" si="1"/>
        <v>31</v>
      </c>
      <c r="B105" s="56" t="s">
        <v>161</v>
      </c>
      <c r="C105" s="57" t="s">
        <v>162</v>
      </c>
      <c r="D105" s="53" t="s">
        <v>335</v>
      </c>
      <c r="E105" s="73"/>
      <c r="F105" s="74"/>
      <c r="G105" s="16"/>
      <c r="H105" s="1"/>
      <c r="I105" s="1"/>
      <c r="J105" s="19"/>
    </row>
    <row r="106" spans="1:10" x14ac:dyDescent="0.25">
      <c r="A106" s="1">
        <f t="shared" si="1"/>
        <v>32</v>
      </c>
      <c r="B106" s="31" t="s">
        <v>163</v>
      </c>
      <c r="C106" s="58" t="s">
        <v>164</v>
      </c>
      <c r="D106" s="53" t="s">
        <v>335</v>
      </c>
      <c r="E106" s="73"/>
      <c r="F106" s="74"/>
      <c r="G106" s="16"/>
      <c r="H106" s="1"/>
      <c r="I106" s="1"/>
      <c r="J106" s="19"/>
    </row>
    <row r="107" spans="1:10" x14ac:dyDescent="0.25">
      <c r="A107" s="1">
        <f t="shared" si="1"/>
        <v>33</v>
      </c>
      <c r="B107" s="31" t="s">
        <v>165</v>
      </c>
      <c r="C107" s="58" t="s">
        <v>166</v>
      </c>
      <c r="D107" s="53" t="s">
        <v>335</v>
      </c>
      <c r="E107" s="73"/>
      <c r="F107" s="74"/>
      <c r="G107" s="16"/>
      <c r="H107" s="1"/>
      <c r="I107" s="1"/>
      <c r="J107" s="19"/>
    </row>
    <row r="108" spans="1:10" x14ac:dyDescent="0.25">
      <c r="A108" s="1">
        <f t="shared" si="1"/>
        <v>34</v>
      </c>
      <c r="B108" s="31" t="s">
        <v>167</v>
      </c>
      <c r="C108" s="58" t="s">
        <v>168</v>
      </c>
      <c r="D108" s="53" t="s">
        <v>335</v>
      </c>
      <c r="E108" s="73"/>
      <c r="F108" s="74"/>
      <c r="G108" s="16"/>
      <c r="H108" s="1"/>
      <c r="I108" s="1"/>
      <c r="J108" s="19"/>
    </row>
    <row r="109" spans="1:10" x14ac:dyDescent="0.25">
      <c r="A109" s="1">
        <f t="shared" si="1"/>
        <v>35</v>
      </c>
      <c r="B109" s="31" t="s">
        <v>169</v>
      </c>
      <c r="C109" s="58" t="s">
        <v>170</v>
      </c>
      <c r="D109" s="53" t="s">
        <v>335</v>
      </c>
      <c r="E109" s="73"/>
      <c r="F109" s="74"/>
      <c r="G109" s="16"/>
      <c r="H109" s="1"/>
      <c r="I109" s="1"/>
      <c r="J109" s="19"/>
    </row>
    <row r="110" spans="1:10" x14ac:dyDescent="0.25">
      <c r="A110" s="1">
        <f t="shared" si="1"/>
        <v>36</v>
      </c>
      <c r="B110" s="31" t="s">
        <v>171</v>
      </c>
      <c r="C110" s="58" t="s">
        <v>172</v>
      </c>
      <c r="D110" s="53" t="s">
        <v>335</v>
      </c>
      <c r="E110" s="73"/>
      <c r="F110" s="74"/>
      <c r="G110" s="16"/>
      <c r="H110" s="1"/>
      <c r="I110" s="1"/>
      <c r="J110" s="19"/>
    </row>
    <row r="111" spans="1:10" x14ac:dyDescent="0.25">
      <c r="A111" s="1">
        <f t="shared" si="1"/>
        <v>37</v>
      </c>
      <c r="B111" s="31" t="s">
        <v>173</v>
      </c>
      <c r="C111" s="58" t="s">
        <v>174</v>
      </c>
      <c r="D111" s="53" t="s">
        <v>335</v>
      </c>
      <c r="E111" s="73"/>
      <c r="F111" s="74"/>
      <c r="G111" s="16"/>
      <c r="H111" s="1"/>
      <c r="I111" s="1"/>
      <c r="J111" s="19"/>
    </row>
    <row r="112" spans="1:10" x14ac:dyDescent="0.25">
      <c r="A112" s="1">
        <f t="shared" si="1"/>
        <v>38</v>
      </c>
      <c r="B112" s="31" t="s">
        <v>175</v>
      </c>
      <c r="C112" s="58" t="s">
        <v>176</v>
      </c>
      <c r="D112" s="53" t="s">
        <v>335</v>
      </c>
      <c r="E112" s="73"/>
      <c r="F112" s="74"/>
      <c r="G112" s="16"/>
      <c r="H112" s="1"/>
      <c r="I112" s="1"/>
      <c r="J112" s="19"/>
    </row>
    <row r="113" spans="1:10" x14ac:dyDescent="0.25">
      <c r="A113" s="1">
        <f t="shared" si="1"/>
        <v>39</v>
      </c>
      <c r="B113" s="31" t="s">
        <v>177</v>
      </c>
      <c r="C113" s="58" t="s">
        <v>178</v>
      </c>
      <c r="D113" s="53" t="s">
        <v>335</v>
      </c>
      <c r="E113" s="73"/>
      <c r="F113" s="74"/>
      <c r="G113" s="16"/>
      <c r="H113" s="1"/>
      <c r="I113" s="1"/>
      <c r="J113" s="19"/>
    </row>
    <row r="114" spans="1:10" x14ac:dyDescent="0.25">
      <c r="A114" s="1">
        <f t="shared" si="1"/>
        <v>40</v>
      </c>
      <c r="B114" s="31" t="s">
        <v>179</v>
      </c>
      <c r="C114" s="58" t="s">
        <v>180</v>
      </c>
      <c r="D114" s="53" t="s">
        <v>335</v>
      </c>
      <c r="E114" s="73"/>
      <c r="F114" s="74"/>
      <c r="G114" s="16"/>
      <c r="H114" s="1"/>
      <c r="I114" s="1"/>
      <c r="J114" s="19"/>
    </row>
    <row r="115" spans="1:10" x14ac:dyDescent="0.25">
      <c r="A115" s="1">
        <f t="shared" si="1"/>
        <v>41</v>
      </c>
      <c r="B115" s="31" t="s">
        <v>181</v>
      </c>
      <c r="C115" s="58" t="s">
        <v>182</v>
      </c>
      <c r="D115" s="53" t="s">
        <v>335</v>
      </c>
      <c r="E115" s="73"/>
      <c r="F115" s="74"/>
      <c r="G115" s="16"/>
      <c r="H115" s="1"/>
      <c r="I115" s="1"/>
      <c r="J115" s="19"/>
    </row>
    <row r="116" spans="1:10" x14ac:dyDescent="0.25">
      <c r="A116" s="1">
        <f t="shared" si="1"/>
        <v>42</v>
      </c>
      <c r="B116" s="31" t="s">
        <v>183</v>
      </c>
      <c r="C116" s="58" t="s">
        <v>184</v>
      </c>
      <c r="D116" s="53" t="s">
        <v>335</v>
      </c>
      <c r="E116" s="73"/>
      <c r="F116" s="74"/>
      <c r="G116" s="16"/>
      <c r="H116" s="1"/>
      <c r="I116" s="1"/>
      <c r="J116" s="19"/>
    </row>
    <row r="117" spans="1:10" x14ac:dyDescent="0.25">
      <c r="A117" s="1">
        <f t="shared" si="1"/>
        <v>43</v>
      </c>
      <c r="B117" s="31" t="s">
        <v>185</v>
      </c>
      <c r="C117" s="58" t="s">
        <v>186</v>
      </c>
      <c r="D117" s="53" t="s">
        <v>335</v>
      </c>
      <c r="E117" s="73"/>
      <c r="F117" s="74"/>
      <c r="G117" s="16"/>
      <c r="H117" s="1"/>
      <c r="I117" s="1"/>
      <c r="J117" s="19"/>
    </row>
    <row r="118" spans="1:10" x14ac:dyDescent="0.25">
      <c r="A118" s="1">
        <f t="shared" si="1"/>
        <v>44</v>
      </c>
      <c r="B118" s="31" t="s">
        <v>187</v>
      </c>
      <c r="C118" s="58" t="s">
        <v>188</v>
      </c>
      <c r="D118" s="53" t="s">
        <v>335</v>
      </c>
      <c r="E118" s="73"/>
      <c r="F118" s="74"/>
      <c r="G118" s="16"/>
      <c r="H118" s="1"/>
      <c r="I118" s="1"/>
      <c r="J118" s="19"/>
    </row>
    <row r="119" spans="1:10" x14ac:dyDescent="0.25">
      <c r="A119" s="1">
        <f t="shared" si="1"/>
        <v>45</v>
      </c>
      <c r="B119" s="31" t="s">
        <v>189</v>
      </c>
      <c r="C119" s="58" t="s">
        <v>190</v>
      </c>
      <c r="D119" s="53" t="s">
        <v>335</v>
      </c>
      <c r="E119" s="73"/>
      <c r="F119" s="74"/>
      <c r="G119" s="16"/>
      <c r="H119" s="1"/>
      <c r="I119" s="1"/>
      <c r="J119" s="19"/>
    </row>
    <row r="120" spans="1:10" x14ac:dyDescent="0.25">
      <c r="A120" s="1">
        <f t="shared" si="1"/>
        <v>46</v>
      </c>
      <c r="B120" s="31" t="s">
        <v>191</v>
      </c>
      <c r="C120" s="58" t="s">
        <v>192</v>
      </c>
      <c r="D120" s="53" t="s">
        <v>335</v>
      </c>
      <c r="E120" s="73"/>
      <c r="F120" s="74"/>
      <c r="G120" s="16"/>
      <c r="H120" s="1"/>
      <c r="I120" s="1"/>
      <c r="J120" s="19"/>
    </row>
    <row r="121" spans="1:10" x14ac:dyDescent="0.25">
      <c r="A121" s="1">
        <f t="shared" si="1"/>
        <v>47</v>
      </c>
      <c r="B121" s="31" t="s">
        <v>193</v>
      </c>
      <c r="C121" s="58" t="s">
        <v>194</v>
      </c>
      <c r="D121" s="53" t="s">
        <v>335</v>
      </c>
      <c r="E121" s="73"/>
      <c r="F121" s="74"/>
      <c r="G121" s="16"/>
      <c r="H121" s="1"/>
      <c r="I121" s="1"/>
      <c r="J121" s="19"/>
    </row>
    <row r="122" spans="1:10" x14ac:dyDescent="0.25">
      <c r="A122" s="1">
        <f t="shared" si="1"/>
        <v>48</v>
      </c>
      <c r="B122" s="31" t="s">
        <v>195</v>
      </c>
      <c r="C122" s="58" t="s">
        <v>196</v>
      </c>
      <c r="D122" s="53" t="s">
        <v>335</v>
      </c>
      <c r="E122" s="73"/>
      <c r="F122" s="74"/>
      <c r="G122" s="16"/>
      <c r="H122" s="1"/>
      <c r="I122" s="1"/>
      <c r="J122" s="19"/>
    </row>
    <row r="123" spans="1:10" x14ac:dyDescent="0.25">
      <c r="A123" s="1">
        <f t="shared" si="1"/>
        <v>49</v>
      </c>
      <c r="B123" s="31" t="s">
        <v>197</v>
      </c>
      <c r="C123" s="58" t="s">
        <v>198</v>
      </c>
      <c r="D123" s="53" t="s">
        <v>335</v>
      </c>
      <c r="E123" s="73"/>
      <c r="F123" s="74"/>
      <c r="G123" s="16"/>
      <c r="H123" s="1"/>
      <c r="I123" s="1"/>
      <c r="J123" s="19"/>
    </row>
    <row r="124" spans="1:10" x14ac:dyDescent="0.25">
      <c r="A124" s="1">
        <f t="shared" si="1"/>
        <v>50</v>
      </c>
      <c r="B124" s="31" t="s">
        <v>199</v>
      </c>
      <c r="C124" s="58" t="s">
        <v>200</v>
      </c>
      <c r="D124" s="53" t="s">
        <v>335</v>
      </c>
      <c r="E124" s="73"/>
      <c r="F124" s="74"/>
      <c r="G124" s="16"/>
      <c r="H124" s="1"/>
      <c r="I124" s="1"/>
      <c r="J124" s="19"/>
    </row>
    <row r="125" spans="1:10" x14ac:dyDescent="0.25">
      <c r="A125" s="1">
        <f t="shared" si="1"/>
        <v>51</v>
      </c>
      <c r="B125" s="31" t="s">
        <v>201</v>
      </c>
      <c r="C125" s="58" t="s">
        <v>202</v>
      </c>
      <c r="D125" s="53" t="s">
        <v>335</v>
      </c>
      <c r="E125" s="73"/>
      <c r="F125" s="74"/>
      <c r="G125" s="16"/>
      <c r="H125" s="1"/>
      <c r="I125" s="1"/>
      <c r="J125" s="19"/>
    </row>
    <row r="126" spans="1:10" x14ac:dyDescent="0.25">
      <c r="A126" s="1">
        <f t="shared" si="1"/>
        <v>52</v>
      </c>
      <c r="B126" s="31" t="s">
        <v>203</v>
      </c>
      <c r="C126" s="58" t="s">
        <v>204</v>
      </c>
      <c r="D126" s="53" t="s">
        <v>335</v>
      </c>
      <c r="E126" s="73"/>
      <c r="F126" s="74"/>
      <c r="G126" s="16"/>
      <c r="H126" s="1"/>
      <c r="I126" s="1"/>
      <c r="J126" s="19"/>
    </row>
    <row r="127" spans="1:10" x14ac:dyDescent="0.25">
      <c r="A127" s="1">
        <f t="shared" si="1"/>
        <v>53</v>
      </c>
      <c r="B127" s="31" t="s">
        <v>205</v>
      </c>
      <c r="C127" s="58" t="s">
        <v>206</v>
      </c>
      <c r="D127" s="53" t="s">
        <v>335</v>
      </c>
      <c r="E127" s="73"/>
      <c r="F127" s="74"/>
      <c r="G127" s="16"/>
      <c r="H127" s="1"/>
      <c r="I127" s="1"/>
      <c r="J127" s="19"/>
    </row>
    <row r="128" spans="1:10" x14ac:dyDescent="0.25">
      <c r="A128" s="1">
        <f t="shared" si="1"/>
        <v>54</v>
      </c>
      <c r="B128" s="31" t="s">
        <v>207</v>
      </c>
      <c r="C128" s="58" t="s">
        <v>208</v>
      </c>
      <c r="D128" s="53" t="s">
        <v>335</v>
      </c>
      <c r="E128" s="73"/>
      <c r="F128" s="74"/>
      <c r="G128" s="16"/>
      <c r="H128" s="1"/>
      <c r="I128" s="1"/>
      <c r="J128" s="19"/>
    </row>
    <row r="129" spans="1:10" x14ac:dyDescent="0.25">
      <c r="A129" s="1">
        <f t="shared" si="1"/>
        <v>55</v>
      </c>
      <c r="B129" s="31" t="s">
        <v>209</v>
      </c>
      <c r="C129" s="58" t="s">
        <v>210</v>
      </c>
      <c r="D129" s="53" t="s">
        <v>335</v>
      </c>
      <c r="E129" s="73"/>
      <c r="F129" s="74"/>
      <c r="G129" s="16"/>
      <c r="H129" s="1"/>
      <c r="I129" s="1"/>
      <c r="J129" s="19"/>
    </row>
    <row r="130" spans="1:10" x14ac:dyDescent="0.25">
      <c r="A130" s="1">
        <f t="shared" si="1"/>
        <v>56</v>
      </c>
      <c r="B130" s="31" t="s">
        <v>211</v>
      </c>
      <c r="C130" s="58" t="s">
        <v>212</v>
      </c>
      <c r="D130" s="53" t="s">
        <v>335</v>
      </c>
      <c r="E130" s="73"/>
      <c r="F130" s="74"/>
      <c r="G130" s="16"/>
      <c r="H130" s="1"/>
      <c r="I130" s="1"/>
      <c r="J130" s="19"/>
    </row>
    <row r="131" spans="1:10" x14ac:dyDescent="0.25">
      <c r="A131" s="1">
        <f t="shared" si="1"/>
        <v>57</v>
      </c>
      <c r="B131" s="31" t="s">
        <v>218</v>
      </c>
      <c r="C131" s="58" t="s">
        <v>217</v>
      </c>
      <c r="D131" s="53" t="s">
        <v>335</v>
      </c>
      <c r="E131" s="73"/>
      <c r="F131" s="74"/>
      <c r="G131" s="16"/>
      <c r="H131" s="1"/>
      <c r="I131" s="1"/>
      <c r="J131" s="19"/>
    </row>
    <row r="132" spans="1:10" x14ac:dyDescent="0.25">
      <c r="A132" s="1">
        <f t="shared" si="1"/>
        <v>58</v>
      </c>
      <c r="B132" s="31" t="s">
        <v>213</v>
      </c>
      <c r="C132" s="58" t="s">
        <v>214</v>
      </c>
      <c r="D132" s="53" t="s">
        <v>335</v>
      </c>
      <c r="E132" s="73"/>
      <c r="F132" s="74"/>
      <c r="G132" s="16"/>
      <c r="H132" s="1"/>
      <c r="I132" s="1"/>
      <c r="J132" s="19"/>
    </row>
    <row r="133" spans="1:10" x14ac:dyDescent="0.25">
      <c r="A133" s="1">
        <f t="shared" si="1"/>
        <v>59</v>
      </c>
      <c r="B133" s="31" t="s">
        <v>215</v>
      </c>
      <c r="C133" s="58" t="s">
        <v>216</v>
      </c>
      <c r="D133" s="53" t="s">
        <v>335</v>
      </c>
      <c r="E133" s="73"/>
      <c r="F133" s="74"/>
      <c r="G133" s="16"/>
      <c r="H133" s="1"/>
      <c r="I133" s="1"/>
      <c r="J133" s="19"/>
    </row>
    <row r="134" spans="1:10" x14ac:dyDescent="0.25">
      <c r="A134" s="1">
        <f t="shared" si="1"/>
        <v>60</v>
      </c>
      <c r="B134" s="31" t="s">
        <v>219</v>
      </c>
      <c r="C134" s="58" t="s">
        <v>220</v>
      </c>
      <c r="D134" s="53" t="s">
        <v>335</v>
      </c>
      <c r="E134" s="73"/>
      <c r="F134" s="74"/>
      <c r="G134" s="16"/>
      <c r="H134" s="1"/>
      <c r="I134" s="1"/>
      <c r="J134" s="19"/>
    </row>
    <row r="135" spans="1:10" x14ac:dyDescent="0.25">
      <c r="A135" s="1">
        <f t="shared" si="1"/>
        <v>61</v>
      </c>
      <c r="B135" s="31" t="s">
        <v>221</v>
      </c>
      <c r="C135" s="58" t="s">
        <v>222</v>
      </c>
      <c r="D135" s="53" t="s">
        <v>335</v>
      </c>
      <c r="E135" s="73"/>
      <c r="F135" s="74"/>
      <c r="G135" s="16"/>
      <c r="H135" s="1"/>
      <c r="I135" s="1"/>
      <c r="J135" s="19"/>
    </row>
    <row r="136" spans="1:10" x14ac:dyDescent="0.25">
      <c r="A136" s="1">
        <f t="shared" si="1"/>
        <v>62</v>
      </c>
      <c r="B136" s="31" t="s">
        <v>223</v>
      </c>
      <c r="C136" s="58" t="s">
        <v>224</v>
      </c>
      <c r="D136" s="53" t="s">
        <v>335</v>
      </c>
      <c r="E136" s="73"/>
      <c r="F136" s="74"/>
      <c r="G136" s="16"/>
      <c r="H136" s="1"/>
      <c r="I136" s="1"/>
      <c r="J136" s="19"/>
    </row>
    <row r="137" spans="1:10" x14ac:dyDescent="0.25">
      <c r="A137" s="1">
        <f t="shared" si="1"/>
        <v>63</v>
      </c>
      <c r="B137" s="31" t="s">
        <v>225</v>
      </c>
      <c r="C137" s="58" t="s">
        <v>226</v>
      </c>
      <c r="D137" s="53" t="s">
        <v>335</v>
      </c>
      <c r="E137" s="73"/>
      <c r="F137" s="74"/>
      <c r="G137" s="16"/>
      <c r="H137" s="1"/>
      <c r="I137" s="1"/>
      <c r="J137" s="19"/>
    </row>
    <row r="138" spans="1:10" x14ac:dyDescent="0.25">
      <c r="A138" s="1">
        <f t="shared" si="1"/>
        <v>64</v>
      </c>
      <c r="B138" s="31" t="s">
        <v>227</v>
      </c>
      <c r="C138" s="58" t="s">
        <v>228</v>
      </c>
      <c r="D138" s="53" t="s">
        <v>335</v>
      </c>
      <c r="E138" s="73"/>
      <c r="F138" s="74"/>
      <c r="G138" s="16"/>
      <c r="H138" s="1"/>
      <c r="I138" s="1"/>
      <c r="J138" s="19"/>
    </row>
    <row r="139" spans="1:10" x14ac:dyDescent="0.25">
      <c r="A139" s="1">
        <f t="shared" si="1"/>
        <v>65</v>
      </c>
      <c r="B139" s="31" t="s">
        <v>229</v>
      </c>
      <c r="C139" s="58" t="s">
        <v>230</v>
      </c>
      <c r="D139" s="53" t="s">
        <v>335</v>
      </c>
      <c r="E139" s="73"/>
      <c r="F139" s="74"/>
      <c r="G139" s="16"/>
      <c r="H139" s="1"/>
      <c r="I139" s="1"/>
      <c r="J139" s="19"/>
    </row>
    <row r="140" spans="1:10" x14ac:dyDescent="0.25">
      <c r="A140" s="1">
        <f t="shared" ref="A140:A203" si="2">A139+1</f>
        <v>66</v>
      </c>
      <c r="B140" s="31" t="s">
        <v>231</v>
      </c>
      <c r="C140" s="58" t="s">
        <v>232</v>
      </c>
      <c r="D140" s="53" t="s">
        <v>335</v>
      </c>
      <c r="E140" s="73"/>
      <c r="F140" s="74"/>
      <c r="G140" s="16"/>
      <c r="H140" s="1"/>
      <c r="I140" s="1"/>
      <c r="J140" s="19"/>
    </row>
    <row r="141" spans="1:10" x14ac:dyDescent="0.25">
      <c r="A141" s="1">
        <f t="shared" si="2"/>
        <v>67</v>
      </c>
      <c r="B141" s="31" t="s">
        <v>233</v>
      </c>
      <c r="C141" s="58" t="s">
        <v>234</v>
      </c>
      <c r="D141" s="53" t="s">
        <v>335</v>
      </c>
      <c r="E141" s="73"/>
      <c r="F141" s="74"/>
      <c r="G141" s="16"/>
      <c r="H141" s="1"/>
      <c r="I141" s="1"/>
      <c r="J141" s="19"/>
    </row>
    <row r="142" spans="1:10" x14ac:dyDescent="0.25">
      <c r="A142" s="1">
        <f t="shared" si="2"/>
        <v>68</v>
      </c>
      <c r="B142" s="31" t="s">
        <v>235</v>
      </c>
      <c r="C142" s="58" t="s">
        <v>236</v>
      </c>
      <c r="D142" s="53" t="s">
        <v>335</v>
      </c>
      <c r="E142" s="73"/>
      <c r="F142" s="74"/>
      <c r="G142" s="16"/>
      <c r="H142" s="1"/>
      <c r="I142" s="1"/>
      <c r="J142" s="19"/>
    </row>
    <row r="143" spans="1:10" x14ac:dyDescent="0.25">
      <c r="A143" s="1">
        <f t="shared" si="2"/>
        <v>69</v>
      </c>
      <c r="B143" s="56" t="s">
        <v>237</v>
      </c>
      <c r="C143" s="57" t="s">
        <v>238</v>
      </c>
      <c r="D143" s="53" t="s">
        <v>335</v>
      </c>
      <c r="E143" s="73"/>
      <c r="F143" s="74"/>
      <c r="G143" s="16"/>
      <c r="H143" s="1"/>
      <c r="I143" s="1"/>
      <c r="J143" s="19"/>
    </row>
    <row r="144" spans="1:10" x14ac:dyDescent="0.25">
      <c r="A144" s="1">
        <f t="shared" si="2"/>
        <v>70</v>
      </c>
      <c r="B144" s="31" t="s">
        <v>239</v>
      </c>
      <c r="C144" s="58" t="s">
        <v>240</v>
      </c>
      <c r="D144" s="53" t="s">
        <v>335</v>
      </c>
      <c r="E144" s="73"/>
      <c r="F144" s="74"/>
      <c r="G144" s="16"/>
      <c r="H144" s="1"/>
      <c r="I144" s="1"/>
      <c r="J144" s="19"/>
    </row>
    <row r="145" spans="1:10" x14ac:dyDescent="0.25">
      <c r="A145" s="1">
        <f t="shared" si="2"/>
        <v>71</v>
      </c>
      <c r="B145" s="31" t="s">
        <v>241</v>
      </c>
      <c r="C145" s="58" t="s">
        <v>242</v>
      </c>
      <c r="D145" s="53" t="s">
        <v>335</v>
      </c>
      <c r="E145" s="73"/>
      <c r="F145" s="74"/>
      <c r="G145" s="16"/>
      <c r="H145" s="1"/>
      <c r="I145" s="1"/>
      <c r="J145" s="19"/>
    </row>
    <row r="146" spans="1:10" x14ac:dyDescent="0.25">
      <c r="A146" s="1">
        <f t="shared" si="2"/>
        <v>72</v>
      </c>
      <c r="B146" s="31" t="s">
        <v>243</v>
      </c>
      <c r="C146" s="58" t="s">
        <v>244</v>
      </c>
      <c r="D146" s="53" t="s">
        <v>335</v>
      </c>
      <c r="E146" s="73"/>
      <c r="F146" s="74"/>
      <c r="G146" s="16"/>
      <c r="H146" s="1"/>
      <c r="I146" s="1"/>
      <c r="J146" s="19"/>
    </row>
    <row r="147" spans="1:10" x14ac:dyDescent="0.25">
      <c r="A147" s="1">
        <f t="shared" si="2"/>
        <v>73</v>
      </c>
      <c r="B147" s="31" t="s">
        <v>245</v>
      </c>
      <c r="C147" s="58" t="s">
        <v>246</v>
      </c>
      <c r="D147" s="53" t="s">
        <v>335</v>
      </c>
      <c r="E147" s="73"/>
      <c r="F147" s="74"/>
      <c r="G147" s="16"/>
      <c r="H147" s="1"/>
      <c r="I147" s="1"/>
      <c r="J147" s="19"/>
    </row>
    <row r="148" spans="1:10" x14ac:dyDescent="0.25">
      <c r="A148" s="1">
        <f t="shared" si="2"/>
        <v>74</v>
      </c>
      <c r="B148" s="31" t="s">
        <v>247</v>
      </c>
      <c r="C148" s="58" t="s">
        <v>248</v>
      </c>
      <c r="D148" s="53" t="s">
        <v>335</v>
      </c>
      <c r="E148" s="73"/>
      <c r="F148" s="74"/>
      <c r="G148" s="16"/>
      <c r="H148" s="1"/>
      <c r="I148" s="1"/>
      <c r="J148" s="19"/>
    </row>
    <row r="149" spans="1:10" x14ac:dyDescent="0.25">
      <c r="A149" s="1">
        <f>A148+1</f>
        <v>75</v>
      </c>
      <c r="B149" s="31" t="s">
        <v>249</v>
      </c>
      <c r="C149" s="58"/>
      <c r="D149" s="53" t="s">
        <v>335</v>
      </c>
      <c r="E149" s="73"/>
      <c r="F149" s="74"/>
      <c r="G149" s="16"/>
      <c r="H149" s="1"/>
      <c r="I149" s="1"/>
      <c r="J149" s="19"/>
    </row>
    <row r="150" spans="1:10" x14ac:dyDescent="0.25">
      <c r="A150" s="1">
        <f t="shared" si="2"/>
        <v>76</v>
      </c>
      <c r="B150" s="31" t="s">
        <v>250</v>
      </c>
      <c r="C150" s="58"/>
      <c r="D150" s="53" t="s">
        <v>335</v>
      </c>
      <c r="E150" s="73"/>
      <c r="F150" s="74"/>
      <c r="G150" s="16"/>
      <c r="H150" s="1"/>
      <c r="I150" s="1"/>
      <c r="J150" s="19"/>
    </row>
    <row r="151" spans="1:10" x14ac:dyDescent="0.25">
      <c r="A151" s="1">
        <f t="shared" si="2"/>
        <v>77</v>
      </c>
      <c r="B151" s="31" t="s">
        <v>251</v>
      </c>
      <c r="C151" s="58"/>
      <c r="D151" s="53" t="s">
        <v>335</v>
      </c>
      <c r="E151" s="73"/>
      <c r="F151" s="74"/>
      <c r="G151" s="16"/>
      <c r="H151" s="9"/>
      <c r="I151" s="1"/>
      <c r="J151" s="19"/>
    </row>
    <row r="152" spans="1:10" x14ac:dyDescent="0.25">
      <c r="A152" s="1">
        <f t="shared" si="2"/>
        <v>78</v>
      </c>
      <c r="B152" s="31" t="s">
        <v>252</v>
      </c>
      <c r="C152" s="58" t="s">
        <v>253</v>
      </c>
      <c r="D152" s="53" t="s">
        <v>335</v>
      </c>
      <c r="E152" s="73"/>
      <c r="F152" s="74"/>
      <c r="G152" s="16"/>
      <c r="H152" s="9"/>
      <c r="I152" s="1"/>
      <c r="J152" s="19"/>
    </row>
    <row r="153" spans="1:10" x14ac:dyDescent="0.25">
      <c r="A153" s="1">
        <f t="shared" si="2"/>
        <v>79</v>
      </c>
      <c r="B153" s="31" t="s">
        <v>254</v>
      </c>
      <c r="C153" s="58" t="s">
        <v>255</v>
      </c>
      <c r="D153" s="53" t="s">
        <v>335</v>
      </c>
      <c r="E153" s="73"/>
      <c r="F153" s="74"/>
      <c r="G153" s="16"/>
      <c r="H153" s="1"/>
      <c r="I153" s="1"/>
      <c r="J153" s="19"/>
    </row>
    <row r="154" spans="1:10" x14ac:dyDescent="0.25">
      <c r="A154" s="1">
        <f t="shared" si="2"/>
        <v>80</v>
      </c>
      <c r="B154" s="31" t="s">
        <v>4</v>
      </c>
      <c r="C154" s="58"/>
      <c r="D154" s="53" t="s">
        <v>335</v>
      </c>
      <c r="E154" s="73"/>
      <c r="F154" s="74"/>
      <c r="G154" s="16"/>
      <c r="H154" s="1"/>
      <c r="I154" s="1"/>
      <c r="J154" s="19"/>
    </row>
    <row r="155" spans="1:10" x14ac:dyDescent="0.25">
      <c r="A155" s="1">
        <f t="shared" si="2"/>
        <v>81</v>
      </c>
      <c r="B155" s="31" t="s">
        <v>256</v>
      </c>
      <c r="C155" s="58" t="s">
        <v>257</v>
      </c>
      <c r="D155" s="53" t="s">
        <v>335</v>
      </c>
      <c r="E155" s="73"/>
      <c r="F155" s="74"/>
      <c r="G155" s="16"/>
      <c r="H155" s="1"/>
      <c r="I155" s="1"/>
      <c r="J155" s="19"/>
    </row>
    <row r="156" spans="1:10" x14ac:dyDescent="0.25">
      <c r="A156" s="1">
        <f t="shared" si="2"/>
        <v>82</v>
      </c>
      <c r="B156" s="31" t="s">
        <v>258</v>
      </c>
      <c r="C156" s="58" t="s">
        <v>259</v>
      </c>
      <c r="D156" s="53" t="s">
        <v>335</v>
      </c>
      <c r="E156" s="73"/>
      <c r="F156" s="74"/>
      <c r="G156" s="16"/>
      <c r="H156" s="1"/>
      <c r="I156" s="1"/>
      <c r="J156" s="19"/>
    </row>
    <row r="157" spans="1:10" x14ac:dyDescent="0.25">
      <c r="A157" s="1">
        <f t="shared" si="2"/>
        <v>83</v>
      </c>
      <c r="B157" s="31" t="s">
        <v>260</v>
      </c>
      <c r="C157" s="58" t="s">
        <v>261</v>
      </c>
      <c r="D157" s="53" t="s">
        <v>335</v>
      </c>
      <c r="E157" s="73"/>
      <c r="F157" s="74"/>
      <c r="G157" s="16"/>
      <c r="H157" s="1"/>
      <c r="I157" s="1"/>
      <c r="J157" s="19"/>
    </row>
    <row r="158" spans="1:10" x14ac:dyDescent="0.25">
      <c r="A158" s="1">
        <f t="shared" si="2"/>
        <v>84</v>
      </c>
      <c r="B158" s="31" t="s">
        <v>262</v>
      </c>
      <c r="C158" s="58" t="s">
        <v>263</v>
      </c>
      <c r="D158" s="53" t="s">
        <v>335</v>
      </c>
      <c r="E158" s="73"/>
      <c r="F158" s="74"/>
      <c r="G158" s="16"/>
      <c r="H158" s="1"/>
      <c r="I158" s="1"/>
      <c r="J158" s="19"/>
    </row>
    <row r="159" spans="1:10" x14ac:dyDescent="0.25">
      <c r="A159" s="1">
        <f t="shared" si="2"/>
        <v>85</v>
      </c>
      <c r="B159" s="31" t="s">
        <v>264</v>
      </c>
      <c r="C159" s="58" t="s">
        <v>265</v>
      </c>
      <c r="D159" s="53" t="s">
        <v>335</v>
      </c>
      <c r="E159" s="73"/>
      <c r="F159" s="74"/>
      <c r="G159" s="16"/>
      <c r="H159" s="1"/>
      <c r="I159" s="1"/>
      <c r="J159" s="19"/>
    </row>
    <row r="160" spans="1:10" x14ac:dyDescent="0.25">
      <c r="A160" s="1">
        <f t="shared" si="2"/>
        <v>86</v>
      </c>
      <c r="B160" s="31" t="s">
        <v>266</v>
      </c>
      <c r="C160" s="58" t="s">
        <v>267</v>
      </c>
      <c r="D160" s="53" t="s">
        <v>335</v>
      </c>
      <c r="E160" s="73"/>
      <c r="F160" s="74"/>
      <c r="G160" s="16"/>
      <c r="H160" s="1"/>
      <c r="I160" s="1"/>
      <c r="J160" s="19"/>
    </row>
    <row r="161" spans="1:10" x14ac:dyDescent="0.25">
      <c r="A161" s="1">
        <f t="shared" si="2"/>
        <v>87</v>
      </c>
      <c r="B161" s="31" t="s">
        <v>268</v>
      </c>
      <c r="C161" s="58" t="s">
        <v>269</v>
      </c>
      <c r="D161" s="53" t="s">
        <v>335</v>
      </c>
      <c r="E161" s="73"/>
      <c r="F161" s="74"/>
      <c r="G161" s="16"/>
      <c r="H161" s="1"/>
      <c r="I161" s="1"/>
      <c r="J161" s="19"/>
    </row>
    <row r="162" spans="1:10" x14ac:dyDescent="0.25">
      <c r="A162" s="1">
        <f t="shared" si="2"/>
        <v>88</v>
      </c>
      <c r="B162" s="31" t="s">
        <v>271</v>
      </c>
      <c r="C162" s="58" t="s">
        <v>270</v>
      </c>
      <c r="D162" s="53" t="s">
        <v>335</v>
      </c>
      <c r="E162" s="73"/>
      <c r="F162" s="74"/>
      <c r="G162" s="16"/>
      <c r="H162" s="1"/>
      <c r="I162" s="1"/>
      <c r="J162" s="19"/>
    </row>
    <row r="163" spans="1:10" x14ac:dyDescent="0.25">
      <c r="A163" s="1">
        <f t="shared" si="2"/>
        <v>89</v>
      </c>
      <c r="B163" s="31" t="s">
        <v>272</v>
      </c>
      <c r="C163" s="58" t="s">
        <v>273</v>
      </c>
      <c r="D163" s="53" t="s">
        <v>335</v>
      </c>
      <c r="E163" s="73"/>
      <c r="F163" s="74"/>
      <c r="G163" s="16"/>
      <c r="H163" s="1"/>
      <c r="I163" s="1"/>
      <c r="J163" s="19"/>
    </row>
    <row r="164" spans="1:10" x14ac:dyDescent="0.25">
      <c r="A164" s="1">
        <f t="shared" si="2"/>
        <v>90</v>
      </c>
      <c r="B164" s="31" t="s">
        <v>274</v>
      </c>
      <c r="C164" s="58" t="s">
        <v>275</v>
      </c>
      <c r="D164" s="53" t="s">
        <v>335</v>
      </c>
      <c r="E164" s="73"/>
      <c r="F164" s="74"/>
      <c r="G164" s="16"/>
      <c r="H164" s="1"/>
      <c r="I164" s="1"/>
      <c r="J164" s="19"/>
    </row>
    <row r="165" spans="1:10" x14ac:dyDescent="0.25">
      <c r="A165" s="1">
        <f t="shared" si="2"/>
        <v>91</v>
      </c>
      <c r="B165" s="31" t="s">
        <v>276</v>
      </c>
      <c r="C165" s="58" t="s">
        <v>277</v>
      </c>
      <c r="D165" s="53" t="s">
        <v>335</v>
      </c>
      <c r="E165" s="73"/>
      <c r="F165" s="74"/>
      <c r="G165" s="16"/>
      <c r="H165" s="1"/>
      <c r="I165" s="1"/>
      <c r="J165" s="19"/>
    </row>
    <row r="166" spans="1:10" x14ac:dyDescent="0.25">
      <c r="A166" s="1">
        <f t="shared" si="2"/>
        <v>92</v>
      </c>
      <c r="B166" s="31" t="s">
        <v>278</v>
      </c>
      <c r="C166" s="58" t="s">
        <v>279</v>
      </c>
      <c r="D166" s="53" t="s">
        <v>335</v>
      </c>
      <c r="E166" s="73"/>
      <c r="F166" s="74"/>
      <c r="G166" s="16"/>
      <c r="H166" s="1"/>
      <c r="I166" s="1"/>
      <c r="J166" s="19"/>
    </row>
    <row r="167" spans="1:10" x14ac:dyDescent="0.25">
      <c r="A167" s="1">
        <f t="shared" si="2"/>
        <v>93</v>
      </c>
      <c r="B167" s="31" t="s">
        <v>280</v>
      </c>
      <c r="C167" s="58" t="s">
        <v>281</v>
      </c>
      <c r="D167" s="53" t="s">
        <v>335</v>
      </c>
      <c r="E167" s="73"/>
      <c r="F167" s="74"/>
      <c r="G167" s="16"/>
      <c r="H167" s="1"/>
      <c r="I167" s="1"/>
      <c r="J167" s="19"/>
    </row>
    <row r="168" spans="1:10" x14ac:dyDescent="0.25">
      <c r="A168" s="1">
        <f t="shared" si="2"/>
        <v>94</v>
      </c>
      <c r="B168" s="31" t="s">
        <v>282</v>
      </c>
      <c r="C168" s="58" t="s">
        <v>283</v>
      </c>
      <c r="D168" s="53" t="s">
        <v>335</v>
      </c>
      <c r="E168" s="73"/>
      <c r="F168" s="74"/>
      <c r="G168" s="16"/>
      <c r="H168" s="1"/>
      <c r="I168" s="1"/>
      <c r="J168" s="19"/>
    </row>
    <row r="169" spans="1:10" x14ac:dyDescent="0.25">
      <c r="A169" s="1">
        <f t="shared" si="2"/>
        <v>95</v>
      </c>
      <c r="B169" s="31" t="s">
        <v>284</v>
      </c>
      <c r="C169" s="58" t="s">
        <v>285</v>
      </c>
      <c r="D169" s="53" t="s">
        <v>335</v>
      </c>
      <c r="E169" s="73"/>
      <c r="F169" s="74"/>
      <c r="G169" s="16"/>
      <c r="H169" s="1"/>
      <c r="I169" s="1"/>
      <c r="J169" s="19"/>
    </row>
    <row r="170" spans="1:10" x14ac:dyDescent="0.25">
      <c r="A170" s="1">
        <f t="shared" si="2"/>
        <v>96</v>
      </c>
      <c r="B170" s="31" t="s">
        <v>286</v>
      </c>
      <c r="C170" s="58" t="s">
        <v>287</v>
      </c>
      <c r="D170" s="53" t="s">
        <v>335</v>
      </c>
      <c r="E170" s="73"/>
      <c r="F170" s="74"/>
      <c r="G170" s="16"/>
      <c r="H170" s="1"/>
      <c r="I170" s="1"/>
      <c r="J170" s="19"/>
    </row>
    <row r="171" spans="1:10" x14ac:dyDescent="0.25">
      <c r="A171" s="1">
        <f t="shared" si="2"/>
        <v>97</v>
      </c>
      <c r="B171" s="31" t="s">
        <v>288</v>
      </c>
      <c r="C171" s="58" t="s">
        <v>289</v>
      </c>
      <c r="D171" s="53" t="s">
        <v>335</v>
      </c>
      <c r="E171" s="73"/>
      <c r="F171" s="74"/>
      <c r="G171" s="16"/>
      <c r="H171" s="1"/>
      <c r="I171" s="1"/>
      <c r="J171" s="19"/>
    </row>
    <row r="172" spans="1:10" x14ac:dyDescent="0.25">
      <c r="A172" s="1">
        <f t="shared" si="2"/>
        <v>98</v>
      </c>
      <c r="B172" s="31" t="s">
        <v>290</v>
      </c>
      <c r="C172" s="58" t="s">
        <v>291</v>
      </c>
      <c r="D172" s="53" t="s">
        <v>335</v>
      </c>
      <c r="E172" s="73"/>
      <c r="F172" s="74"/>
      <c r="G172" s="16"/>
      <c r="H172" s="1"/>
      <c r="I172" s="1"/>
      <c r="J172" s="19"/>
    </row>
    <row r="173" spans="1:10" x14ac:dyDescent="0.25">
      <c r="A173" s="1">
        <f t="shared" si="2"/>
        <v>99</v>
      </c>
      <c r="B173" s="31" t="s">
        <v>292</v>
      </c>
      <c r="C173" s="58" t="s">
        <v>293</v>
      </c>
      <c r="D173" s="53" t="s">
        <v>335</v>
      </c>
      <c r="E173" s="73"/>
      <c r="F173" s="74"/>
      <c r="G173" s="16"/>
      <c r="H173" s="1"/>
      <c r="I173" s="1"/>
      <c r="J173" s="19"/>
    </row>
    <row r="174" spans="1:10" x14ac:dyDescent="0.25">
      <c r="A174" s="1">
        <f t="shared" si="2"/>
        <v>100</v>
      </c>
      <c r="B174" s="31" t="s">
        <v>294</v>
      </c>
      <c r="C174" s="58" t="s">
        <v>295</v>
      </c>
      <c r="D174" s="53" t="s">
        <v>335</v>
      </c>
      <c r="E174" s="73"/>
      <c r="F174" s="74"/>
      <c r="G174" s="16"/>
      <c r="H174" s="1"/>
      <c r="I174" s="1"/>
      <c r="J174" s="19"/>
    </row>
    <row r="175" spans="1:10" x14ac:dyDescent="0.25">
      <c r="A175" s="1">
        <f t="shared" si="2"/>
        <v>101</v>
      </c>
      <c r="B175" s="31" t="s">
        <v>296</v>
      </c>
      <c r="C175" s="58" t="s">
        <v>297</v>
      </c>
      <c r="D175" s="53" t="s">
        <v>335</v>
      </c>
      <c r="E175" s="73"/>
      <c r="F175" s="74"/>
      <c r="G175" s="16"/>
      <c r="H175" s="1"/>
      <c r="I175" s="1"/>
      <c r="J175" s="19"/>
    </row>
    <row r="176" spans="1:10" x14ac:dyDescent="0.25">
      <c r="A176" s="1">
        <f t="shared" si="2"/>
        <v>102</v>
      </c>
      <c r="B176" s="31" t="s">
        <v>298</v>
      </c>
      <c r="C176" s="58" t="s">
        <v>299</v>
      </c>
      <c r="D176" s="53" t="s">
        <v>335</v>
      </c>
      <c r="E176" s="73"/>
      <c r="F176" s="74"/>
      <c r="G176" s="16"/>
      <c r="H176" s="1"/>
      <c r="I176" s="1"/>
      <c r="J176" s="19"/>
    </row>
    <row r="177" spans="1:10" x14ac:dyDescent="0.25">
      <c r="A177" s="1">
        <f t="shared" si="2"/>
        <v>103</v>
      </c>
      <c r="B177" s="31" t="s">
        <v>300</v>
      </c>
      <c r="C177" s="58" t="s">
        <v>301</v>
      </c>
      <c r="D177" s="53" t="s">
        <v>335</v>
      </c>
      <c r="E177" s="73"/>
      <c r="F177" s="74"/>
      <c r="G177" s="16"/>
      <c r="H177" s="1"/>
      <c r="I177" s="1"/>
      <c r="J177" s="19"/>
    </row>
    <row r="178" spans="1:10" x14ac:dyDescent="0.25">
      <c r="A178" s="1">
        <f t="shared" si="2"/>
        <v>104</v>
      </c>
      <c r="B178" s="31" t="s">
        <v>302</v>
      </c>
      <c r="C178" s="58" t="s">
        <v>303</v>
      </c>
      <c r="D178" s="53" t="s">
        <v>335</v>
      </c>
      <c r="E178" s="73"/>
      <c r="F178" s="74"/>
      <c r="G178" s="16"/>
      <c r="H178" s="1"/>
      <c r="I178" s="1"/>
      <c r="J178" s="19"/>
    </row>
    <row r="179" spans="1:10" x14ac:dyDescent="0.25">
      <c r="A179" s="1">
        <f t="shared" si="2"/>
        <v>105</v>
      </c>
      <c r="B179" s="31" t="s">
        <v>304</v>
      </c>
      <c r="C179" s="58" t="s">
        <v>305</v>
      </c>
      <c r="D179" s="53" t="s">
        <v>335</v>
      </c>
      <c r="E179" s="73"/>
      <c r="F179" s="74"/>
      <c r="G179" s="16"/>
      <c r="H179" s="1"/>
      <c r="I179" s="1"/>
      <c r="J179" s="19"/>
    </row>
    <row r="180" spans="1:10" x14ac:dyDescent="0.25">
      <c r="A180" s="1">
        <f t="shared" si="2"/>
        <v>106</v>
      </c>
      <c r="B180" s="31" t="s">
        <v>306</v>
      </c>
      <c r="C180" s="58" t="s">
        <v>307</v>
      </c>
      <c r="D180" s="53" t="s">
        <v>335</v>
      </c>
      <c r="E180" s="73"/>
      <c r="F180" s="74"/>
      <c r="G180" s="16"/>
      <c r="H180" s="1"/>
      <c r="I180" s="1"/>
      <c r="J180" s="19"/>
    </row>
    <row r="181" spans="1:10" x14ac:dyDescent="0.25">
      <c r="A181" s="1">
        <f t="shared" si="2"/>
        <v>107</v>
      </c>
      <c r="B181" s="31" t="s">
        <v>308</v>
      </c>
      <c r="C181" s="58" t="s">
        <v>309</v>
      </c>
      <c r="D181" s="53" t="s">
        <v>335</v>
      </c>
      <c r="E181" s="73"/>
      <c r="F181" s="74"/>
      <c r="G181" s="16"/>
      <c r="H181" s="1"/>
      <c r="I181" s="1"/>
      <c r="J181" s="19"/>
    </row>
    <row r="182" spans="1:10" x14ac:dyDescent="0.25">
      <c r="A182" s="1">
        <f t="shared" si="2"/>
        <v>108</v>
      </c>
      <c r="B182" s="31" t="s">
        <v>310</v>
      </c>
      <c r="C182" s="58" t="s">
        <v>311</v>
      </c>
      <c r="D182" s="53" t="s">
        <v>334</v>
      </c>
      <c r="E182" s="73"/>
      <c r="F182" s="74"/>
      <c r="G182" s="16"/>
      <c r="H182" s="1"/>
      <c r="I182" s="1"/>
      <c r="J182" s="19"/>
    </row>
    <row r="183" spans="1:10" x14ac:dyDescent="0.25">
      <c r="A183" s="1">
        <f t="shared" si="2"/>
        <v>109</v>
      </c>
      <c r="B183" s="31" t="s">
        <v>312</v>
      </c>
      <c r="C183" s="58" t="s">
        <v>313</v>
      </c>
      <c r="D183" s="53" t="s">
        <v>335</v>
      </c>
      <c r="E183" s="73"/>
      <c r="F183" s="74"/>
      <c r="G183" s="16"/>
      <c r="H183" s="1"/>
      <c r="I183" s="1"/>
      <c r="J183" s="19"/>
    </row>
    <row r="184" spans="1:10" x14ac:dyDescent="0.25">
      <c r="A184" s="1">
        <f t="shared" si="2"/>
        <v>110</v>
      </c>
      <c r="B184" s="31" t="s">
        <v>314</v>
      </c>
      <c r="C184" s="58" t="s">
        <v>315</v>
      </c>
      <c r="D184" s="53" t="s">
        <v>335</v>
      </c>
      <c r="E184" s="73"/>
      <c r="F184" s="74"/>
      <c r="G184" s="16"/>
      <c r="H184" s="1"/>
      <c r="I184" s="1"/>
      <c r="J184" s="19"/>
    </row>
    <row r="185" spans="1:10" x14ac:dyDescent="0.25">
      <c r="A185" s="1">
        <f t="shared" si="2"/>
        <v>111</v>
      </c>
      <c r="B185" s="31" t="s">
        <v>316</v>
      </c>
      <c r="C185" s="58" t="s">
        <v>317</v>
      </c>
      <c r="D185" s="53" t="s">
        <v>335</v>
      </c>
      <c r="E185" s="73"/>
      <c r="F185" s="74"/>
      <c r="G185" s="16"/>
      <c r="H185" s="1"/>
      <c r="I185" s="1"/>
      <c r="J185" s="19"/>
    </row>
    <row r="186" spans="1:10" x14ac:dyDescent="0.25">
      <c r="A186" s="1">
        <f t="shared" si="2"/>
        <v>112</v>
      </c>
      <c r="B186" s="31" t="s">
        <v>318</v>
      </c>
      <c r="C186" s="58" t="s">
        <v>319</v>
      </c>
      <c r="D186" s="53" t="s">
        <v>335</v>
      </c>
      <c r="E186" s="73"/>
      <c r="F186" s="74"/>
      <c r="G186" s="16"/>
      <c r="H186" s="1"/>
      <c r="I186" s="1"/>
      <c r="J186" s="19"/>
    </row>
    <row r="187" spans="1:10" x14ac:dyDescent="0.25">
      <c r="A187" s="1">
        <f t="shared" si="2"/>
        <v>113</v>
      </c>
      <c r="B187" s="31" t="s">
        <v>320</v>
      </c>
      <c r="C187" s="58" t="s">
        <v>321</v>
      </c>
      <c r="D187" s="53" t="s">
        <v>335</v>
      </c>
      <c r="E187" s="73"/>
      <c r="F187" s="74"/>
      <c r="G187" s="16"/>
      <c r="H187" s="1"/>
      <c r="I187" s="1"/>
      <c r="J187" s="19"/>
    </row>
    <row r="188" spans="1:10" x14ac:dyDescent="0.25">
      <c r="A188" s="1">
        <f t="shared" si="2"/>
        <v>114</v>
      </c>
      <c r="B188" s="31" t="s">
        <v>322</v>
      </c>
      <c r="C188" s="58" t="s">
        <v>323</v>
      </c>
      <c r="D188" s="53" t="s">
        <v>335</v>
      </c>
      <c r="E188" s="73"/>
      <c r="F188" s="74"/>
      <c r="G188" s="16"/>
      <c r="H188" s="1"/>
      <c r="I188" s="1"/>
      <c r="J188" s="19"/>
    </row>
    <row r="189" spans="1:10" x14ac:dyDescent="0.25">
      <c r="A189" s="1">
        <f t="shared" si="2"/>
        <v>115</v>
      </c>
      <c r="B189" s="31" t="s">
        <v>324</v>
      </c>
      <c r="C189" s="58" t="s">
        <v>325</v>
      </c>
      <c r="D189" s="53" t="s">
        <v>335</v>
      </c>
      <c r="E189" s="73"/>
      <c r="F189" s="74"/>
      <c r="G189" s="16"/>
      <c r="H189" s="1"/>
      <c r="I189" s="1"/>
      <c r="J189" s="19"/>
    </row>
    <row r="190" spans="1:10" x14ac:dyDescent="0.25">
      <c r="A190" s="1">
        <f t="shared" si="2"/>
        <v>116</v>
      </c>
      <c r="B190" s="31" t="s">
        <v>326</v>
      </c>
      <c r="C190" s="58" t="s">
        <v>327</v>
      </c>
      <c r="D190" s="53" t="s">
        <v>335</v>
      </c>
      <c r="E190" s="73"/>
      <c r="F190" s="74"/>
      <c r="G190" s="16"/>
      <c r="H190" s="1"/>
      <c r="I190" s="1"/>
      <c r="J190" s="19"/>
    </row>
    <row r="191" spans="1:10" x14ac:dyDescent="0.25">
      <c r="A191" s="1">
        <f t="shared" si="2"/>
        <v>117</v>
      </c>
      <c r="B191" s="31" t="s">
        <v>328</v>
      </c>
      <c r="C191" s="58" t="s">
        <v>329</v>
      </c>
      <c r="D191" s="53" t="s">
        <v>335</v>
      </c>
      <c r="E191" s="73"/>
      <c r="F191" s="74"/>
      <c r="G191" s="16"/>
      <c r="H191" s="1"/>
      <c r="I191" s="1"/>
      <c r="J191" s="19"/>
    </row>
    <row r="192" spans="1:10" x14ac:dyDescent="0.25">
      <c r="A192" s="1">
        <f t="shared" si="2"/>
        <v>118</v>
      </c>
      <c r="B192" s="31" t="s">
        <v>330</v>
      </c>
      <c r="C192" s="58" t="s">
        <v>331</v>
      </c>
      <c r="D192" s="53" t="s">
        <v>335</v>
      </c>
      <c r="E192" s="73"/>
      <c r="F192" s="74"/>
      <c r="G192" s="16"/>
      <c r="H192" s="1"/>
      <c r="I192" s="1"/>
      <c r="J192" s="19"/>
    </row>
    <row r="193" spans="1:10" x14ac:dyDescent="0.25">
      <c r="A193" s="1">
        <f t="shared" si="2"/>
        <v>119</v>
      </c>
      <c r="B193" s="31" t="s">
        <v>332</v>
      </c>
      <c r="C193" s="58" t="s">
        <v>333</v>
      </c>
      <c r="D193" s="53" t="s">
        <v>335</v>
      </c>
      <c r="E193" s="73"/>
      <c r="F193" s="74"/>
      <c r="G193" s="16"/>
      <c r="H193" s="1"/>
      <c r="I193" s="1"/>
      <c r="J193" s="19"/>
    </row>
    <row r="194" spans="1:10" x14ac:dyDescent="0.25">
      <c r="A194" s="1">
        <f t="shared" si="2"/>
        <v>120</v>
      </c>
      <c r="B194" s="31"/>
      <c r="C194" s="58"/>
      <c r="D194" s="53"/>
      <c r="E194" s="73"/>
      <c r="F194" s="74"/>
      <c r="G194" s="16"/>
      <c r="H194" s="1"/>
      <c r="I194" s="1"/>
      <c r="J194" s="19"/>
    </row>
    <row r="195" spans="1:10" x14ac:dyDescent="0.25">
      <c r="A195" s="1">
        <f t="shared" si="2"/>
        <v>121</v>
      </c>
      <c r="B195" s="31"/>
      <c r="C195" s="58"/>
      <c r="D195" s="53"/>
      <c r="E195" s="73"/>
      <c r="F195" s="74"/>
      <c r="G195" s="16"/>
      <c r="H195" s="1"/>
      <c r="I195" s="1"/>
      <c r="J195" s="19"/>
    </row>
    <row r="196" spans="1:10" x14ac:dyDescent="0.25">
      <c r="A196" s="1">
        <f t="shared" si="2"/>
        <v>122</v>
      </c>
      <c r="B196" s="31"/>
      <c r="C196" s="58"/>
      <c r="D196" s="53"/>
      <c r="E196" s="73"/>
      <c r="F196" s="74"/>
      <c r="G196" s="16"/>
      <c r="H196" s="1"/>
      <c r="I196" s="1"/>
      <c r="J196" s="19"/>
    </row>
    <row r="197" spans="1:10" x14ac:dyDescent="0.25">
      <c r="A197" s="1">
        <f t="shared" si="2"/>
        <v>123</v>
      </c>
      <c r="B197" s="31"/>
      <c r="C197" s="58"/>
      <c r="D197" s="53"/>
      <c r="E197" s="73"/>
      <c r="F197" s="74"/>
      <c r="G197" s="16"/>
      <c r="H197" s="1"/>
      <c r="I197" s="1"/>
      <c r="J197" s="19"/>
    </row>
    <row r="198" spans="1:10" x14ac:dyDescent="0.25">
      <c r="A198" s="1">
        <f t="shared" si="2"/>
        <v>124</v>
      </c>
      <c r="B198" s="31"/>
      <c r="C198" s="58"/>
      <c r="D198" s="52"/>
      <c r="E198" s="79"/>
      <c r="F198" s="74"/>
      <c r="G198" s="16"/>
      <c r="H198" s="1"/>
      <c r="I198" s="1"/>
      <c r="J198" s="19"/>
    </row>
    <row r="199" spans="1:10" x14ac:dyDescent="0.25">
      <c r="A199" s="1">
        <f t="shared" si="2"/>
        <v>125</v>
      </c>
      <c r="B199" s="31"/>
      <c r="C199" s="58"/>
      <c r="D199" s="52"/>
      <c r="E199" s="79"/>
      <c r="F199" s="74"/>
      <c r="G199" s="16"/>
      <c r="H199" s="1"/>
      <c r="I199" s="1"/>
      <c r="J199" s="19"/>
    </row>
    <row r="200" spans="1:10" x14ac:dyDescent="0.25">
      <c r="A200" s="1">
        <f t="shared" si="2"/>
        <v>126</v>
      </c>
      <c r="B200" s="31"/>
      <c r="C200" s="58"/>
      <c r="D200" s="52"/>
      <c r="E200" s="79"/>
      <c r="F200" s="74"/>
      <c r="G200" s="16"/>
      <c r="H200" s="1"/>
      <c r="I200" s="1"/>
      <c r="J200" s="19"/>
    </row>
    <row r="201" spans="1:10" x14ac:dyDescent="0.25">
      <c r="A201" s="1">
        <f t="shared" si="2"/>
        <v>127</v>
      </c>
      <c r="B201" s="31"/>
      <c r="C201" s="58"/>
      <c r="D201" s="15"/>
      <c r="E201" s="80"/>
      <c r="F201" s="81"/>
      <c r="G201" s="16"/>
      <c r="H201" s="1"/>
      <c r="I201" s="1"/>
      <c r="J201" s="19"/>
    </row>
    <row r="202" spans="1:10" x14ac:dyDescent="0.25">
      <c r="A202" s="1">
        <f t="shared" si="2"/>
        <v>128</v>
      </c>
      <c r="B202" s="31"/>
      <c r="C202" s="58"/>
      <c r="D202" s="15"/>
      <c r="E202" s="80"/>
      <c r="F202" s="81"/>
      <c r="G202" s="16"/>
      <c r="H202" s="1"/>
      <c r="I202" s="1"/>
      <c r="J202" s="19"/>
    </row>
    <row r="203" spans="1:10" x14ac:dyDescent="0.25">
      <c r="A203" s="1">
        <f t="shared" si="2"/>
        <v>129</v>
      </c>
      <c r="B203" s="31"/>
      <c r="C203" s="58"/>
      <c r="D203" s="15"/>
      <c r="E203" s="80"/>
      <c r="F203" s="81"/>
      <c r="G203" s="16"/>
      <c r="H203" s="1"/>
      <c r="I203" s="1"/>
      <c r="J203" s="19"/>
    </row>
    <row r="204" spans="1:10" x14ac:dyDescent="0.25">
      <c r="A204" s="1">
        <f>A203+1</f>
        <v>130</v>
      </c>
      <c r="B204" s="59"/>
      <c r="C204" s="60"/>
      <c r="D204" s="15"/>
      <c r="E204" s="80"/>
      <c r="F204" s="81"/>
      <c r="G204" s="16"/>
      <c r="H204" s="1"/>
      <c r="I204" s="1"/>
      <c r="J204" s="19"/>
    </row>
    <row r="205" spans="1:10" ht="15.75" thickBot="1" x14ac:dyDescent="0.3">
      <c r="A205" s="1">
        <f>A71+1</f>
        <v>69</v>
      </c>
      <c r="B205" s="31"/>
      <c r="C205" s="58"/>
      <c r="D205" s="15"/>
      <c r="E205" s="80"/>
      <c r="F205" s="82"/>
      <c r="G205" s="20"/>
      <c r="H205" s="21"/>
      <c r="I205" s="21"/>
      <c r="J205" s="22"/>
    </row>
    <row r="206" spans="1:10" x14ac:dyDescent="0.25">
      <c r="A206" s="1">
        <f>A204+1</f>
        <v>131</v>
      </c>
    </row>
  </sheetData>
  <mergeCells count="1">
    <mergeCell ref="A1:C1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05"/>
  <sheetViews>
    <sheetView topLeftCell="A156" workbookViewId="0">
      <selection activeCell="J6" sqref="J6"/>
    </sheetView>
  </sheetViews>
  <sheetFormatPr baseColWidth="10" defaultRowHeight="15" x14ac:dyDescent="0.25"/>
  <cols>
    <col min="1" max="1" width="3.28515625" customWidth="1"/>
    <col min="2" max="2" width="38.28515625" customWidth="1"/>
    <col min="7" max="7" width="6.85546875" customWidth="1"/>
  </cols>
  <sheetData>
    <row r="1" spans="1:10" ht="15.75" thickBot="1" x14ac:dyDescent="0.3">
      <c r="A1" s="378" t="s">
        <v>8</v>
      </c>
      <c r="B1" s="378"/>
      <c r="C1" s="378"/>
      <c r="D1" s="32"/>
      <c r="E1" s="33"/>
      <c r="F1" s="33" t="s">
        <v>96</v>
      </c>
      <c r="G1" s="33"/>
      <c r="H1" s="34"/>
    </row>
    <row r="2" spans="1:10" ht="15.75" thickBot="1" x14ac:dyDescent="0.3">
      <c r="A2" s="6" t="s">
        <v>3</v>
      </c>
      <c r="B2" s="49" t="s">
        <v>0</v>
      </c>
      <c r="C2" s="48" t="s">
        <v>1</v>
      </c>
      <c r="D2" s="10" t="s">
        <v>2</v>
      </c>
      <c r="E2" s="71" t="s">
        <v>336</v>
      </c>
      <c r="F2" s="72" t="s">
        <v>337</v>
      </c>
      <c r="G2" s="50" t="s">
        <v>10</v>
      </c>
      <c r="H2" s="51" t="s">
        <v>11</v>
      </c>
      <c r="I2" s="17" t="s">
        <v>12</v>
      </c>
      <c r="J2" s="18" t="s">
        <v>13</v>
      </c>
    </row>
    <row r="3" spans="1:10" x14ac:dyDescent="0.25">
      <c r="A3" s="1">
        <v>1</v>
      </c>
      <c r="B3" s="1" t="s">
        <v>14</v>
      </c>
      <c r="C3" s="4" t="s">
        <v>100</v>
      </c>
      <c r="D3" s="53" t="s">
        <v>5</v>
      </c>
      <c r="E3" s="73"/>
      <c r="F3" s="74"/>
      <c r="G3" s="16"/>
      <c r="H3" s="68"/>
      <c r="I3" s="1"/>
      <c r="J3" s="19"/>
    </row>
    <row r="4" spans="1:10" x14ac:dyDescent="0.25">
      <c r="A4" s="1">
        <f>A3+1</f>
        <v>2</v>
      </c>
      <c r="B4" s="1" t="s">
        <v>15</v>
      </c>
      <c r="C4" s="4"/>
      <c r="D4" s="53" t="s">
        <v>5</v>
      </c>
      <c r="E4" s="73"/>
      <c r="F4" s="74"/>
      <c r="G4" s="16"/>
      <c r="H4" s="1"/>
      <c r="I4" s="1"/>
      <c r="J4" s="19"/>
    </row>
    <row r="5" spans="1:10" x14ac:dyDescent="0.25">
      <c r="A5" s="1">
        <f t="shared" ref="A5:A68" si="0">A4+1</f>
        <v>3</v>
      </c>
      <c r="B5" s="3" t="s">
        <v>16</v>
      </c>
      <c r="C5" s="5" t="s">
        <v>101</v>
      </c>
      <c r="D5" s="54" t="s">
        <v>5</v>
      </c>
      <c r="E5" s="73"/>
      <c r="F5" s="74"/>
      <c r="G5" s="16"/>
      <c r="H5" s="1"/>
      <c r="I5" s="1"/>
      <c r="J5" s="19"/>
    </row>
    <row r="6" spans="1:10" x14ac:dyDescent="0.25">
      <c r="A6" s="1">
        <f t="shared" si="0"/>
        <v>4</v>
      </c>
      <c r="B6" s="1" t="s">
        <v>17</v>
      </c>
      <c r="C6" s="4"/>
      <c r="D6" s="53" t="s">
        <v>5</v>
      </c>
      <c r="E6" s="73"/>
      <c r="F6" s="74"/>
      <c r="G6" s="16"/>
      <c r="H6" s="1"/>
      <c r="I6" s="1"/>
      <c r="J6" s="19"/>
    </row>
    <row r="7" spans="1:10" x14ac:dyDescent="0.25">
      <c r="A7" s="1">
        <f t="shared" si="0"/>
        <v>5</v>
      </c>
      <c r="B7" s="1" t="s">
        <v>18</v>
      </c>
      <c r="C7" s="4"/>
      <c r="D7" s="53" t="s">
        <v>5</v>
      </c>
      <c r="E7" s="73"/>
      <c r="F7" s="74"/>
      <c r="G7" s="16"/>
      <c r="H7" s="1"/>
      <c r="I7" s="1"/>
      <c r="J7" s="19"/>
    </row>
    <row r="8" spans="1:10" x14ac:dyDescent="0.25">
      <c r="A8" s="1">
        <f t="shared" si="0"/>
        <v>6</v>
      </c>
      <c r="B8" s="1" t="s">
        <v>19</v>
      </c>
      <c r="C8" s="4"/>
      <c r="D8" s="53" t="s">
        <v>5</v>
      </c>
      <c r="E8" s="73"/>
      <c r="F8" s="74"/>
      <c r="G8" s="16"/>
      <c r="H8" s="1"/>
      <c r="I8" s="1"/>
      <c r="J8" s="19"/>
    </row>
    <row r="9" spans="1:10" x14ac:dyDescent="0.25">
      <c r="A9" s="1">
        <f t="shared" si="0"/>
        <v>7</v>
      </c>
      <c r="B9" s="1" t="s">
        <v>20</v>
      </c>
      <c r="C9" s="4"/>
      <c r="D9" s="53" t="s">
        <v>5</v>
      </c>
      <c r="E9" s="73"/>
      <c r="F9" s="74"/>
      <c r="G9" s="16"/>
      <c r="H9" s="1"/>
      <c r="I9" s="1"/>
      <c r="J9" s="19"/>
    </row>
    <row r="10" spans="1:10" x14ac:dyDescent="0.25">
      <c r="A10" s="1">
        <f t="shared" si="0"/>
        <v>8</v>
      </c>
      <c r="B10" s="1" t="s">
        <v>21</v>
      </c>
      <c r="C10" s="4"/>
      <c r="D10" s="53" t="s">
        <v>5</v>
      </c>
      <c r="E10" s="73"/>
      <c r="F10" s="74"/>
      <c r="G10" s="16"/>
      <c r="H10" s="1"/>
      <c r="I10" s="1"/>
      <c r="J10" s="19"/>
    </row>
    <row r="11" spans="1:10" x14ac:dyDescent="0.25">
      <c r="A11" s="1">
        <f t="shared" si="0"/>
        <v>9</v>
      </c>
      <c r="B11" s="1" t="s">
        <v>22</v>
      </c>
      <c r="C11" s="4"/>
      <c r="D11" s="53" t="s">
        <v>5</v>
      </c>
      <c r="E11" s="73"/>
      <c r="F11" s="74"/>
      <c r="G11" s="16"/>
      <c r="H11" s="1"/>
      <c r="I11" s="1"/>
      <c r="J11" s="19"/>
    </row>
    <row r="12" spans="1:10" x14ac:dyDescent="0.25">
      <c r="A12" s="1">
        <f t="shared" si="0"/>
        <v>10</v>
      </c>
      <c r="B12" s="1" t="s">
        <v>23</v>
      </c>
      <c r="C12" s="4"/>
      <c r="D12" s="53" t="s">
        <v>5</v>
      </c>
      <c r="E12" s="73"/>
      <c r="F12" s="74"/>
      <c r="G12" s="16"/>
      <c r="H12" s="1"/>
      <c r="I12" s="1"/>
      <c r="J12" s="19"/>
    </row>
    <row r="13" spans="1:10" x14ac:dyDescent="0.25">
      <c r="A13" s="1">
        <f t="shared" si="0"/>
        <v>11</v>
      </c>
      <c r="B13" s="1" t="s">
        <v>24</v>
      </c>
      <c r="C13" s="4"/>
      <c r="D13" s="53" t="s">
        <v>5</v>
      </c>
      <c r="E13" s="73"/>
      <c r="F13" s="74"/>
      <c r="G13" s="16"/>
      <c r="H13" s="1"/>
      <c r="I13" s="1"/>
      <c r="J13" s="19"/>
    </row>
    <row r="14" spans="1:10" x14ac:dyDescent="0.25">
      <c r="A14" s="1">
        <f t="shared" si="0"/>
        <v>12</v>
      </c>
      <c r="B14" s="1" t="s">
        <v>25</v>
      </c>
      <c r="C14" s="4"/>
      <c r="D14" s="53" t="s">
        <v>5</v>
      </c>
      <c r="E14" s="73"/>
      <c r="F14" s="74"/>
      <c r="G14" s="16"/>
      <c r="H14" s="1"/>
      <c r="I14" s="1"/>
      <c r="J14" s="19"/>
    </row>
    <row r="15" spans="1:10" x14ac:dyDescent="0.25">
      <c r="A15" s="1">
        <f t="shared" si="0"/>
        <v>13</v>
      </c>
      <c r="B15" s="1" t="s">
        <v>26</v>
      </c>
      <c r="C15" s="4"/>
      <c r="D15" s="53" t="s">
        <v>5</v>
      </c>
      <c r="E15" s="73"/>
      <c r="F15" s="74"/>
      <c r="G15" s="16"/>
      <c r="H15" s="1"/>
      <c r="I15" s="1"/>
      <c r="J15" s="19"/>
    </row>
    <row r="16" spans="1:10" x14ac:dyDescent="0.25">
      <c r="A16" s="1">
        <f t="shared" si="0"/>
        <v>14</v>
      </c>
      <c r="B16" s="1" t="s">
        <v>27</v>
      </c>
      <c r="C16" s="4"/>
      <c r="D16" s="53" t="s">
        <v>5</v>
      </c>
      <c r="E16" s="73"/>
      <c r="F16" s="74"/>
      <c r="G16" s="16"/>
      <c r="H16" s="1"/>
      <c r="I16" s="1"/>
      <c r="J16" s="19"/>
    </row>
    <row r="17" spans="1:10" x14ac:dyDescent="0.25">
      <c r="A17" s="1">
        <f t="shared" si="0"/>
        <v>15</v>
      </c>
      <c r="B17" s="31" t="s">
        <v>28</v>
      </c>
      <c r="C17" s="4"/>
      <c r="D17" s="53" t="s">
        <v>5</v>
      </c>
      <c r="E17" s="73"/>
      <c r="F17" s="74"/>
      <c r="G17" s="16"/>
      <c r="H17" s="1"/>
      <c r="I17" s="1"/>
      <c r="J17" s="19"/>
    </row>
    <row r="18" spans="1:10" x14ac:dyDescent="0.25">
      <c r="A18" s="1">
        <f t="shared" si="0"/>
        <v>16</v>
      </c>
      <c r="B18" s="1" t="s">
        <v>29</v>
      </c>
      <c r="C18" s="4"/>
      <c r="D18" s="53" t="s">
        <v>7</v>
      </c>
      <c r="E18" s="73"/>
      <c r="F18" s="74"/>
      <c r="G18" s="16"/>
      <c r="H18" s="1"/>
      <c r="I18" s="1"/>
      <c r="J18" s="19"/>
    </row>
    <row r="19" spans="1:10" x14ac:dyDescent="0.25">
      <c r="A19" s="1">
        <f t="shared" si="0"/>
        <v>17</v>
      </c>
      <c r="B19" s="1" t="s">
        <v>30</v>
      </c>
      <c r="C19" s="4"/>
      <c r="D19" s="53" t="s">
        <v>5</v>
      </c>
      <c r="E19" s="73"/>
      <c r="F19" s="74"/>
      <c r="G19" s="16"/>
      <c r="H19" s="1"/>
      <c r="I19" s="1"/>
      <c r="J19" s="19"/>
    </row>
    <row r="20" spans="1:10" x14ac:dyDescent="0.25">
      <c r="A20" s="1">
        <f t="shared" si="0"/>
        <v>18</v>
      </c>
      <c r="B20" s="1" t="s">
        <v>31</v>
      </c>
      <c r="C20" s="4"/>
      <c r="D20" s="53" t="s">
        <v>5</v>
      </c>
      <c r="E20" s="73"/>
      <c r="F20" s="74"/>
      <c r="G20" s="16"/>
      <c r="H20" s="1"/>
      <c r="I20" s="1"/>
      <c r="J20" s="19"/>
    </row>
    <row r="21" spans="1:10" x14ac:dyDescent="0.25">
      <c r="A21" s="1">
        <f t="shared" si="0"/>
        <v>19</v>
      </c>
      <c r="B21" s="1" t="s">
        <v>32</v>
      </c>
      <c r="C21" s="4"/>
      <c r="D21" s="53" t="s">
        <v>5</v>
      </c>
      <c r="E21" s="73"/>
      <c r="F21" s="74"/>
      <c r="G21" s="16"/>
      <c r="H21" s="1"/>
      <c r="I21" s="1"/>
      <c r="J21" s="19"/>
    </row>
    <row r="22" spans="1:10" x14ac:dyDescent="0.25">
      <c r="A22" s="1">
        <f t="shared" si="0"/>
        <v>20</v>
      </c>
      <c r="B22" s="1" t="s">
        <v>33</v>
      </c>
      <c r="C22" s="4"/>
      <c r="D22" s="53" t="s">
        <v>5</v>
      </c>
      <c r="E22" s="73"/>
      <c r="F22" s="74"/>
      <c r="G22" s="16"/>
      <c r="H22" s="1"/>
      <c r="I22" s="1"/>
      <c r="J22" s="19"/>
    </row>
    <row r="23" spans="1:10" x14ac:dyDescent="0.25">
      <c r="A23" s="1">
        <f t="shared" si="0"/>
        <v>21</v>
      </c>
      <c r="B23" s="1" t="s">
        <v>34</v>
      </c>
      <c r="C23" s="4"/>
      <c r="D23" s="53" t="s">
        <v>5</v>
      </c>
      <c r="E23" s="73"/>
      <c r="F23" s="74"/>
      <c r="G23" s="16"/>
      <c r="H23" s="1"/>
      <c r="I23" s="1"/>
      <c r="J23" s="19"/>
    </row>
    <row r="24" spans="1:10" x14ac:dyDescent="0.25">
      <c r="A24" s="1">
        <f t="shared" si="0"/>
        <v>22</v>
      </c>
      <c r="B24" s="1" t="s">
        <v>35</v>
      </c>
      <c r="C24" s="4"/>
      <c r="D24" s="53" t="s">
        <v>5</v>
      </c>
      <c r="E24" s="73"/>
      <c r="F24" s="74"/>
      <c r="G24" s="16"/>
      <c r="H24" s="1"/>
      <c r="I24" s="1"/>
      <c r="J24" s="19"/>
    </row>
    <row r="25" spans="1:10" x14ac:dyDescent="0.25">
      <c r="A25" s="1">
        <f t="shared" si="0"/>
        <v>23</v>
      </c>
      <c r="B25" s="1" t="s">
        <v>36</v>
      </c>
      <c r="C25" s="4"/>
      <c r="D25" s="53" t="s">
        <v>5</v>
      </c>
      <c r="E25" s="73"/>
      <c r="F25" s="74"/>
      <c r="G25" s="16"/>
      <c r="H25" s="1"/>
      <c r="I25" s="1"/>
      <c r="J25" s="19"/>
    </row>
    <row r="26" spans="1:10" x14ac:dyDescent="0.25">
      <c r="A26" s="1">
        <f t="shared" si="0"/>
        <v>24</v>
      </c>
      <c r="B26" s="1" t="s">
        <v>37</v>
      </c>
      <c r="C26" s="4"/>
      <c r="D26" s="53" t="s">
        <v>5</v>
      </c>
      <c r="E26" s="73"/>
      <c r="F26" s="74"/>
      <c r="G26" s="16"/>
      <c r="H26" s="1"/>
      <c r="I26" s="1"/>
      <c r="J26" s="19"/>
    </row>
    <row r="27" spans="1:10" x14ac:dyDescent="0.25">
      <c r="A27" s="1">
        <f t="shared" si="0"/>
        <v>25</v>
      </c>
      <c r="B27" s="1" t="s">
        <v>38</v>
      </c>
      <c r="C27" s="4"/>
      <c r="D27" s="53" t="s">
        <v>5</v>
      </c>
      <c r="E27" s="73"/>
      <c r="F27" s="74"/>
      <c r="G27" s="16"/>
      <c r="H27" s="1"/>
      <c r="I27" s="1"/>
      <c r="J27" s="19"/>
    </row>
    <row r="28" spans="1:10" x14ac:dyDescent="0.25">
      <c r="A28" s="1">
        <f t="shared" si="0"/>
        <v>26</v>
      </c>
      <c r="B28" s="1" t="s">
        <v>39</v>
      </c>
      <c r="C28" s="4"/>
      <c r="D28" s="53" t="s">
        <v>5</v>
      </c>
      <c r="E28" s="73"/>
      <c r="F28" s="74"/>
      <c r="G28" s="16"/>
      <c r="H28" s="1"/>
      <c r="I28" s="1"/>
      <c r="J28" s="19"/>
    </row>
    <row r="29" spans="1:10" x14ac:dyDescent="0.25">
      <c r="A29" s="1">
        <f t="shared" si="0"/>
        <v>27</v>
      </c>
      <c r="B29" s="1" t="s">
        <v>40</v>
      </c>
      <c r="C29" s="4"/>
      <c r="D29" s="53" t="s">
        <v>5</v>
      </c>
      <c r="E29" s="73"/>
      <c r="F29" s="74"/>
      <c r="G29" s="16"/>
      <c r="H29" s="1"/>
      <c r="I29" s="1"/>
      <c r="J29" s="19"/>
    </row>
    <row r="30" spans="1:10" x14ac:dyDescent="0.25">
      <c r="A30" s="1">
        <f t="shared" si="0"/>
        <v>28</v>
      </c>
      <c r="B30" s="1" t="s">
        <v>41</v>
      </c>
      <c r="C30" s="4"/>
      <c r="D30" s="53" t="s">
        <v>5</v>
      </c>
      <c r="E30" s="73"/>
      <c r="F30" s="74"/>
      <c r="G30" s="16"/>
      <c r="H30" s="1"/>
      <c r="I30" s="1"/>
      <c r="J30" s="19"/>
    </row>
    <row r="31" spans="1:10" x14ac:dyDescent="0.25">
      <c r="A31" s="1">
        <f t="shared" si="0"/>
        <v>29</v>
      </c>
      <c r="B31" s="1" t="s">
        <v>42</v>
      </c>
      <c r="C31" s="4"/>
      <c r="D31" s="53" t="s">
        <v>5</v>
      </c>
      <c r="E31" s="73"/>
      <c r="F31" s="74"/>
      <c r="G31" s="16"/>
      <c r="H31" s="1"/>
      <c r="I31" s="1"/>
      <c r="J31" s="19"/>
    </row>
    <row r="32" spans="1:10" x14ac:dyDescent="0.25">
      <c r="A32" s="1">
        <f t="shared" si="0"/>
        <v>30</v>
      </c>
      <c r="B32" s="1" t="s">
        <v>43</v>
      </c>
      <c r="C32" s="4"/>
      <c r="D32" s="53" t="s">
        <v>5</v>
      </c>
      <c r="E32" s="73"/>
      <c r="F32" s="74"/>
      <c r="G32" s="16"/>
      <c r="H32" s="1"/>
      <c r="I32" s="1"/>
      <c r="J32" s="19"/>
    </row>
    <row r="33" spans="1:10" x14ac:dyDescent="0.25">
      <c r="A33" s="1">
        <f t="shared" si="0"/>
        <v>31</v>
      </c>
      <c r="B33" s="1" t="s">
        <v>44</v>
      </c>
      <c r="C33" s="4"/>
      <c r="D33" s="53" t="s">
        <v>5</v>
      </c>
      <c r="E33" s="73"/>
      <c r="F33" s="74"/>
      <c r="G33" s="16"/>
      <c r="H33" s="1"/>
      <c r="I33" s="1"/>
      <c r="J33" s="19"/>
    </row>
    <row r="34" spans="1:10" x14ac:dyDescent="0.25">
      <c r="A34" s="1">
        <f t="shared" si="0"/>
        <v>32</v>
      </c>
      <c r="B34" s="1" t="s">
        <v>45</v>
      </c>
      <c r="C34" s="4"/>
      <c r="D34" s="53" t="s">
        <v>5</v>
      </c>
      <c r="E34" s="73"/>
      <c r="F34" s="74"/>
      <c r="G34" s="16"/>
      <c r="H34" s="1"/>
      <c r="I34" s="1"/>
      <c r="J34" s="19"/>
    </row>
    <row r="35" spans="1:10" x14ac:dyDescent="0.25">
      <c r="A35" s="1">
        <f t="shared" si="0"/>
        <v>33</v>
      </c>
      <c r="B35" s="1" t="s">
        <v>46</v>
      </c>
      <c r="C35" s="4"/>
      <c r="D35" s="53" t="s">
        <v>5</v>
      </c>
      <c r="E35" s="73"/>
      <c r="F35" s="74"/>
      <c r="G35" s="16"/>
      <c r="H35" s="1"/>
      <c r="I35" s="1"/>
      <c r="J35" s="19"/>
    </row>
    <row r="36" spans="1:10" x14ac:dyDescent="0.25">
      <c r="A36" s="1">
        <f t="shared" si="0"/>
        <v>34</v>
      </c>
      <c r="B36" s="1" t="s">
        <v>47</v>
      </c>
      <c r="C36" s="4"/>
      <c r="D36" s="53" t="s">
        <v>5</v>
      </c>
      <c r="E36" s="73"/>
      <c r="F36" s="74"/>
      <c r="G36" s="16"/>
      <c r="H36" s="1"/>
      <c r="I36" s="1"/>
      <c r="J36" s="19"/>
    </row>
    <row r="37" spans="1:10" x14ac:dyDescent="0.25">
      <c r="A37" s="1">
        <f t="shared" si="0"/>
        <v>35</v>
      </c>
      <c r="B37" s="1" t="s">
        <v>48</v>
      </c>
      <c r="C37" s="4"/>
      <c r="D37" s="53" t="s">
        <v>5</v>
      </c>
      <c r="E37" s="73"/>
      <c r="F37" s="74"/>
      <c r="G37" s="16"/>
      <c r="H37" s="1"/>
      <c r="I37" s="1"/>
      <c r="J37" s="19"/>
    </row>
    <row r="38" spans="1:10" x14ac:dyDescent="0.25">
      <c r="A38" s="1">
        <f t="shared" si="0"/>
        <v>36</v>
      </c>
      <c r="B38" s="1" t="s">
        <v>49</v>
      </c>
      <c r="C38" s="4"/>
      <c r="D38" s="53" t="s">
        <v>5</v>
      </c>
      <c r="E38" s="73"/>
      <c r="F38" s="74"/>
      <c r="G38" s="16"/>
      <c r="H38" s="1"/>
      <c r="I38" s="1"/>
      <c r="J38" s="19"/>
    </row>
    <row r="39" spans="1:10" x14ac:dyDescent="0.25">
      <c r="A39" s="1">
        <f t="shared" si="0"/>
        <v>37</v>
      </c>
      <c r="B39" s="1" t="s">
        <v>50</v>
      </c>
      <c r="C39" s="4"/>
      <c r="D39" s="53" t="s">
        <v>5</v>
      </c>
      <c r="E39" s="73"/>
      <c r="F39" s="74"/>
      <c r="G39" s="16"/>
      <c r="H39" s="1"/>
      <c r="I39" s="1"/>
      <c r="J39" s="19"/>
    </row>
    <row r="40" spans="1:10" x14ac:dyDescent="0.25">
      <c r="A40" s="1">
        <f t="shared" si="0"/>
        <v>38</v>
      </c>
      <c r="B40" s="3" t="s">
        <v>51</v>
      </c>
      <c r="C40" s="5"/>
      <c r="D40" s="54" t="s">
        <v>5</v>
      </c>
      <c r="E40" s="73"/>
      <c r="F40" s="74"/>
      <c r="G40" s="16"/>
      <c r="H40" s="1"/>
      <c r="I40" s="1"/>
      <c r="J40" s="19"/>
    </row>
    <row r="41" spans="1:10" x14ac:dyDescent="0.25">
      <c r="A41" s="1">
        <f t="shared" si="0"/>
        <v>39</v>
      </c>
      <c r="B41" s="1" t="s">
        <v>52</v>
      </c>
      <c r="C41" s="4"/>
      <c r="D41" s="53" t="s">
        <v>5</v>
      </c>
      <c r="E41" s="73"/>
      <c r="F41" s="74"/>
      <c r="G41" s="16"/>
      <c r="H41" s="1"/>
      <c r="I41" s="1"/>
      <c r="J41" s="19"/>
    </row>
    <row r="42" spans="1:10" x14ac:dyDescent="0.25">
      <c r="A42" s="1">
        <f t="shared" si="0"/>
        <v>40</v>
      </c>
      <c r="B42" s="1" t="s">
        <v>53</v>
      </c>
      <c r="C42" s="4"/>
      <c r="D42" s="53" t="s">
        <v>5</v>
      </c>
      <c r="E42" s="73"/>
      <c r="F42" s="74"/>
      <c r="G42" s="16"/>
      <c r="H42" s="1"/>
      <c r="I42" s="1"/>
      <c r="J42" s="19"/>
    </row>
    <row r="43" spans="1:10" x14ac:dyDescent="0.25">
      <c r="A43" s="1">
        <f t="shared" si="0"/>
        <v>41</v>
      </c>
      <c r="B43" s="1" t="s">
        <v>54</v>
      </c>
      <c r="C43" s="4"/>
      <c r="D43" s="53" t="s">
        <v>5</v>
      </c>
      <c r="E43" s="73"/>
      <c r="F43" s="74"/>
      <c r="G43" s="16"/>
      <c r="H43" s="1"/>
      <c r="I43" s="1"/>
      <c r="J43" s="19"/>
    </row>
    <row r="44" spans="1:10" x14ac:dyDescent="0.25">
      <c r="A44" s="1">
        <f t="shared" si="0"/>
        <v>42</v>
      </c>
      <c r="B44" s="1" t="s">
        <v>55</v>
      </c>
      <c r="C44" s="4"/>
      <c r="D44" s="53" t="s">
        <v>5</v>
      </c>
      <c r="E44" s="73"/>
      <c r="F44" s="74"/>
      <c r="G44" s="16"/>
      <c r="H44" s="1"/>
      <c r="I44" s="1"/>
      <c r="J44" s="19"/>
    </row>
    <row r="45" spans="1:10" x14ac:dyDescent="0.25">
      <c r="A45" s="1">
        <f t="shared" si="0"/>
        <v>43</v>
      </c>
      <c r="B45" s="1" t="s">
        <v>56</v>
      </c>
      <c r="C45" s="4"/>
      <c r="D45" s="53" t="s">
        <v>5</v>
      </c>
      <c r="E45" s="73"/>
      <c r="F45" s="74"/>
      <c r="G45" s="16"/>
      <c r="H45" s="1"/>
      <c r="I45" s="1"/>
      <c r="J45" s="19"/>
    </row>
    <row r="46" spans="1:10" x14ac:dyDescent="0.25">
      <c r="A46" s="1">
        <f t="shared" si="0"/>
        <v>44</v>
      </c>
      <c r="B46" s="1" t="s">
        <v>57</v>
      </c>
      <c r="C46" s="4"/>
      <c r="D46" s="53" t="s">
        <v>5</v>
      </c>
      <c r="E46" s="73"/>
      <c r="F46" s="74"/>
      <c r="G46" s="16"/>
      <c r="H46" s="1"/>
      <c r="I46" s="1"/>
      <c r="J46" s="19"/>
    </row>
    <row r="47" spans="1:10" x14ac:dyDescent="0.25">
      <c r="A47" s="1">
        <f t="shared" si="0"/>
        <v>45</v>
      </c>
      <c r="B47" s="1" t="s">
        <v>58</v>
      </c>
      <c r="C47" s="4"/>
      <c r="D47" s="53" t="s">
        <v>5</v>
      </c>
      <c r="E47" s="73"/>
      <c r="F47" s="74"/>
      <c r="G47" s="16"/>
      <c r="H47" s="1"/>
      <c r="I47" s="1"/>
      <c r="J47" s="19"/>
    </row>
    <row r="48" spans="1:10" x14ac:dyDescent="0.25">
      <c r="A48" s="1">
        <f t="shared" si="0"/>
        <v>46</v>
      </c>
      <c r="B48" s="1" t="s">
        <v>59</v>
      </c>
      <c r="C48" s="4"/>
      <c r="D48" s="53" t="s">
        <v>5</v>
      </c>
      <c r="E48" s="73"/>
      <c r="F48" s="74"/>
      <c r="G48" s="16"/>
      <c r="H48" s="1"/>
      <c r="I48" s="1"/>
      <c r="J48" s="19"/>
    </row>
    <row r="49" spans="1:10" x14ac:dyDescent="0.25">
      <c r="A49" s="1">
        <f t="shared" si="0"/>
        <v>47</v>
      </c>
      <c r="B49" s="1" t="s">
        <v>40</v>
      </c>
      <c r="C49" s="4"/>
      <c r="D49" s="53" t="s">
        <v>5</v>
      </c>
      <c r="E49" s="73"/>
      <c r="F49" s="74"/>
      <c r="G49" s="16"/>
      <c r="H49" s="1"/>
      <c r="I49" s="1"/>
      <c r="J49" s="19"/>
    </row>
    <row r="50" spans="1:10" x14ac:dyDescent="0.25">
      <c r="A50" s="1">
        <f t="shared" si="0"/>
        <v>48</v>
      </c>
      <c r="B50" s="1" t="s">
        <v>60</v>
      </c>
      <c r="C50" s="4"/>
      <c r="D50" s="53" t="s">
        <v>5</v>
      </c>
      <c r="E50" s="73"/>
      <c r="F50" s="74"/>
      <c r="G50" s="16"/>
      <c r="H50" s="1"/>
      <c r="I50" s="1"/>
      <c r="J50" s="19"/>
    </row>
    <row r="51" spans="1:10" x14ac:dyDescent="0.25">
      <c r="A51" s="1">
        <f t="shared" si="0"/>
        <v>49</v>
      </c>
      <c r="B51" s="1" t="s">
        <v>61</v>
      </c>
      <c r="C51" s="4"/>
      <c r="D51" s="53" t="s">
        <v>5</v>
      </c>
      <c r="E51" s="73"/>
      <c r="F51" s="74"/>
      <c r="G51" s="16"/>
      <c r="H51" s="1"/>
      <c r="I51" s="1"/>
      <c r="J51" s="19"/>
    </row>
    <row r="52" spans="1:10" x14ac:dyDescent="0.25">
      <c r="A52" s="1">
        <f t="shared" si="0"/>
        <v>50</v>
      </c>
      <c r="B52" s="3" t="s">
        <v>62</v>
      </c>
      <c r="C52" s="5"/>
      <c r="D52" s="54" t="s">
        <v>5</v>
      </c>
      <c r="E52" s="73"/>
      <c r="F52" s="74"/>
      <c r="G52" s="16"/>
      <c r="H52" s="1"/>
      <c r="I52" s="1"/>
      <c r="J52" s="19"/>
    </row>
    <row r="53" spans="1:10" x14ac:dyDescent="0.25">
      <c r="A53" s="1">
        <f t="shared" si="0"/>
        <v>51</v>
      </c>
      <c r="B53" s="1" t="s">
        <v>63</v>
      </c>
      <c r="C53" s="4"/>
      <c r="D53" s="53" t="s">
        <v>5</v>
      </c>
      <c r="E53" s="73"/>
      <c r="F53" s="74"/>
      <c r="G53" s="16"/>
      <c r="H53" s="1"/>
      <c r="I53" s="1"/>
      <c r="J53" s="19"/>
    </row>
    <row r="54" spans="1:10" x14ac:dyDescent="0.25">
      <c r="A54" s="1">
        <f t="shared" si="0"/>
        <v>52</v>
      </c>
      <c r="B54" s="1" t="s">
        <v>64</v>
      </c>
      <c r="C54" s="4"/>
      <c r="D54" s="53" t="s">
        <v>5</v>
      </c>
      <c r="E54" s="73"/>
      <c r="F54" s="74"/>
      <c r="G54" s="16"/>
      <c r="H54" s="1"/>
      <c r="I54" s="1"/>
      <c r="J54" s="19"/>
    </row>
    <row r="55" spans="1:10" x14ac:dyDescent="0.25">
      <c r="A55" s="1">
        <f t="shared" si="0"/>
        <v>53</v>
      </c>
      <c r="B55" s="1" t="s">
        <v>65</v>
      </c>
      <c r="C55" s="4"/>
      <c r="D55" s="53" t="s">
        <v>5</v>
      </c>
      <c r="E55" s="73"/>
      <c r="F55" s="74"/>
      <c r="G55" s="16"/>
      <c r="H55" s="1"/>
      <c r="I55" s="1"/>
      <c r="J55" s="19"/>
    </row>
    <row r="56" spans="1:10" x14ac:dyDescent="0.25">
      <c r="A56" s="1">
        <f t="shared" si="0"/>
        <v>54</v>
      </c>
      <c r="B56" s="1" t="s">
        <v>66</v>
      </c>
      <c r="C56" s="4"/>
      <c r="D56" s="53" t="s">
        <v>5</v>
      </c>
      <c r="E56" s="73"/>
      <c r="F56" s="74"/>
      <c r="G56" s="16"/>
      <c r="H56" s="1"/>
      <c r="I56" s="1"/>
      <c r="J56" s="19"/>
    </row>
    <row r="57" spans="1:10" x14ac:dyDescent="0.25">
      <c r="A57" s="1">
        <f t="shared" si="0"/>
        <v>55</v>
      </c>
      <c r="B57" s="1" t="s">
        <v>67</v>
      </c>
      <c r="C57" s="4"/>
      <c r="D57" s="53" t="s">
        <v>5</v>
      </c>
      <c r="E57" s="73"/>
      <c r="F57" s="74"/>
      <c r="G57" s="16"/>
      <c r="H57" s="1"/>
      <c r="I57" s="1"/>
      <c r="J57" s="19"/>
    </row>
    <row r="58" spans="1:10" x14ac:dyDescent="0.25">
      <c r="A58" s="1">
        <f t="shared" si="0"/>
        <v>56</v>
      </c>
      <c r="B58" s="1" t="s">
        <v>68</v>
      </c>
      <c r="C58" s="4"/>
      <c r="D58" s="53" t="s">
        <v>5</v>
      </c>
      <c r="E58" s="73"/>
      <c r="F58" s="74"/>
      <c r="G58" s="16"/>
      <c r="H58" s="1"/>
      <c r="I58" s="1"/>
      <c r="J58" s="19"/>
    </row>
    <row r="59" spans="1:10" x14ac:dyDescent="0.25">
      <c r="A59" s="1">
        <f t="shared" si="0"/>
        <v>57</v>
      </c>
      <c r="B59" s="1" t="s">
        <v>69</v>
      </c>
      <c r="C59" s="4"/>
      <c r="D59" s="53" t="s">
        <v>5</v>
      </c>
      <c r="E59" s="73"/>
      <c r="F59" s="74"/>
      <c r="G59" s="16"/>
      <c r="H59" s="1"/>
      <c r="I59" s="1"/>
      <c r="J59" s="19"/>
    </row>
    <row r="60" spans="1:10" x14ac:dyDescent="0.25">
      <c r="A60" s="1">
        <f t="shared" si="0"/>
        <v>58</v>
      </c>
      <c r="B60" s="1" t="s">
        <v>70</v>
      </c>
      <c r="C60" s="4" t="s">
        <v>90</v>
      </c>
      <c r="D60" s="53" t="s">
        <v>5</v>
      </c>
      <c r="E60" s="73"/>
      <c r="F60" s="74"/>
      <c r="G60" s="16"/>
      <c r="H60" s="1"/>
      <c r="I60" s="1"/>
      <c r="J60" s="19"/>
    </row>
    <row r="61" spans="1:10" x14ac:dyDescent="0.25">
      <c r="A61" s="1">
        <f t="shared" si="0"/>
        <v>59</v>
      </c>
      <c r="B61" s="1" t="s">
        <v>71</v>
      </c>
      <c r="C61" s="4" t="s">
        <v>89</v>
      </c>
      <c r="D61" s="53" t="s">
        <v>5</v>
      </c>
      <c r="E61" s="73"/>
      <c r="F61" s="74"/>
      <c r="G61" s="16"/>
      <c r="H61" s="1"/>
      <c r="I61" s="1"/>
      <c r="J61" s="19"/>
    </row>
    <row r="62" spans="1:10" x14ac:dyDescent="0.25">
      <c r="A62" s="1">
        <f t="shared" si="0"/>
        <v>60</v>
      </c>
      <c r="B62" s="1" t="s">
        <v>72</v>
      </c>
      <c r="C62" s="4" t="s">
        <v>88</v>
      </c>
      <c r="D62" s="53" t="s">
        <v>5</v>
      </c>
      <c r="E62" s="73"/>
      <c r="F62" s="74"/>
      <c r="G62" s="16"/>
      <c r="H62" s="1"/>
      <c r="I62" s="1"/>
      <c r="J62" s="19"/>
    </row>
    <row r="63" spans="1:10" x14ac:dyDescent="0.25">
      <c r="A63" s="1">
        <f t="shared" si="0"/>
        <v>61</v>
      </c>
      <c r="B63" s="1" t="s">
        <v>73</v>
      </c>
      <c r="C63" s="4" t="s">
        <v>87</v>
      </c>
      <c r="D63" s="53" t="s">
        <v>5</v>
      </c>
      <c r="E63" s="73"/>
      <c r="F63" s="74"/>
      <c r="G63" s="16"/>
      <c r="H63" s="1"/>
      <c r="I63" s="1"/>
      <c r="J63" s="19"/>
    </row>
    <row r="64" spans="1:10" x14ac:dyDescent="0.25">
      <c r="A64" s="1">
        <f t="shared" si="0"/>
        <v>62</v>
      </c>
      <c r="B64" s="1" t="s">
        <v>74</v>
      </c>
      <c r="C64" s="4" t="s">
        <v>86</v>
      </c>
      <c r="D64" s="53" t="s">
        <v>5</v>
      </c>
      <c r="E64" s="73"/>
      <c r="F64" s="74"/>
      <c r="G64" s="16"/>
      <c r="H64" s="1"/>
      <c r="I64" s="1"/>
      <c r="J64" s="19"/>
    </row>
    <row r="65" spans="1:10" x14ac:dyDescent="0.25">
      <c r="A65" s="1">
        <f t="shared" si="0"/>
        <v>63</v>
      </c>
      <c r="B65" s="1" t="s">
        <v>84</v>
      </c>
      <c r="C65" s="4" t="s">
        <v>85</v>
      </c>
      <c r="D65" s="53" t="s">
        <v>5</v>
      </c>
      <c r="E65" s="73"/>
      <c r="F65" s="74"/>
      <c r="G65" s="16"/>
      <c r="H65" s="1"/>
      <c r="I65" s="1"/>
      <c r="J65" s="19"/>
    </row>
    <row r="66" spans="1:10" x14ac:dyDescent="0.25">
      <c r="A66" s="1">
        <f t="shared" si="0"/>
        <v>64</v>
      </c>
      <c r="B66" s="1" t="s">
        <v>75</v>
      </c>
      <c r="C66" s="4" t="s">
        <v>83</v>
      </c>
      <c r="D66" s="53" t="s">
        <v>5</v>
      </c>
      <c r="E66" s="73"/>
      <c r="F66" s="74"/>
      <c r="G66" s="16"/>
      <c r="H66" s="1"/>
      <c r="I66" s="1"/>
      <c r="J66" s="19"/>
    </row>
    <row r="67" spans="1:10" x14ac:dyDescent="0.25">
      <c r="A67" s="1">
        <f t="shared" si="0"/>
        <v>65</v>
      </c>
      <c r="B67" s="1" t="s">
        <v>76</v>
      </c>
      <c r="C67" s="4" t="s">
        <v>82</v>
      </c>
      <c r="D67" s="53" t="s">
        <v>5</v>
      </c>
      <c r="E67" s="73"/>
      <c r="F67" s="74"/>
      <c r="G67" s="16"/>
      <c r="H67" s="1"/>
      <c r="I67" s="1"/>
      <c r="J67" s="19"/>
    </row>
    <row r="68" spans="1:10" x14ac:dyDescent="0.25">
      <c r="A68" s="1">
        <f t="shared" si="0"/>
        <v>66</v>
      </c>
      <c r="B68" s="1" t="s">
        <v>77</v>
      </c>
      <c r="C68" s="4" t="s">
        <v>6</v>
      </c>
      <c r="D68" s="53" t="s">
        <v>5</v>
      </c>
      <c r="E68" s="73"/>
      <c r="F68" s="74"/>
      <c r="G68" s="16"/>
      <c r="H68" s="1"/>
      <c r="I68" s="1"/>
      <c r="J68" s="19"/>
    </row>
    <row r="69" spans="1:10" x14ac:dyDescent="0.25">
      <c r="A69" s="1">
        <f>A68+1</f>
        <v>67</v>
      </c>
      <c r="B69" s="1" t="s">
        <v>78</v>
      </c>
      <c r="C69" s="4" t="s">
        <v>79</v>
      </c>
      <c r="D69" s="53" t="s">
        <v>5</v>
      </c>
      <c r="E69" s="73"/>
      <c r="F69" s="74"/>
      <c r="G69" s="16"/>
      <c r="H69" s="1"/>
      <c r="I69" s="1"/>
      <c r="J69" s="19"/>
    </row>
    <row r="70" spans="1:10" x14ac:dyDescent="0.25">
      <c r="A70" s="1">
        <f>A69+1</f>
        <v>68</v>
      </c>
      <c r="B70" s="1" t="s">
        <v>80</v>
      </c>
      <c r="C70" s="4" t="s">
        <v>81</v>
      </c>
      <c r="D70" s="53" t="s">
        <v>5</v>
      </c>
      <c r="E70" s="73"/>
      <c r="F70" s="74"/>
      <c r="G70" s="16"/>
      <c r="H70" s="1"/>
      <c r="I70" s="1"/>
      <c r="J70" s="19"/>
    </row>
    <row r="71" spans="1:10" x14ac:dyDescent="0.25">
      <c r="A71" s="1">
        <f>A204+1</f>
        <v>70</v>
      </c>
      <c r="B71" s="1"/>
      <c r="C71" s="4"/>
      <c r="D71" s="53" t="s">
        <v>5</v>
      </c>
      <c r="E71" s="73"/>
      <c r="F71" s="74"/>
      <c r="G71" s="16"/>
      <c r="H71" s="1"/>
      <c r="I71" s="1"/>
      <c r="J71" s="19"/>
    </row>
    <row r="72" spans="1:10" ht="15.75" thickBot="1" x14ac:dyDescent="0.3">
      <c r="A72" s="13">
        <f>A71+1</f>
        <v>71</v>
      </c>
      <c r="B72" s="8"/>
      <c r="C72" s="2"/>
      <c r="D72" s="55" t="s">
        <v>5</v>
      </c>
      <c r="E72" s="73"/>
      <c r="F72" s="75"/>
      <c r="G72" s="61"/>
      <c r="H72" s="13"/>
      <c r="I72" s="13"/>
      <c r="J72" s="24"/>
    </row>
    <row r="73" spans="1:10" ht="15.75" thickBot="1" x14ac:dyDescent="0.3">
      <c r="A73" s="64" t="s">
        <v>3</v>
      </c>
      <c r="B73" s="63" t="s">
        <v>0</v>
      </c>
      <c r="C73" s="65" t="s">
        <v>1</v>
      </c>
      <c r="D73" s="14" t="s">
        <v>2</v>
      </c>
      <c r="E73" s="76"/>
      <c r="F73" s="77"/>
      <c r="G73" s="11"/>
      <c r="H73" s="66"/>
      <c r="I73" s="66"/>
      <c r="J73" s="67"/>
    </row>
    <row r="74" spans="1:10" x14ac:dyDescent="0.25">
      <c r="A74" s="3">
        <v>1</v>
      </c>
      <c r="B74" s="56" t="s">
        <v>102</v>
      </c>
      <c r="C74" s="57" t="s">
        <v>103</v>
      </c>
      <c r="D74" s="54" t="s">
        <v>334</v>
      </c>
      <c r="E74" s="73"/>
      <c r="F74" s="78"/>
      <c r="G74" s="62"/>
      <c r="H74" s="3"/>
      <c r="I74" s="3"/>
      <c r="J74" s="23"/>
    </row>
    <row r="75" spans="1:10" x14ac:dyDescent="0.25">
      <c r="A75" s="1">
        <f t="shared" ref="A75:A138" si="1">A74+1</f>
        <v>2</v>
      </c>
      <c r="B75" s="31" t="s">
        <v>104</v>
      </c>
      <c r="C75" s="58"/>
      <c r="D75" s="53" t="s">
        <v>334</v>
      </c>
      <c r="E75" s="73"/>
      <c r="F75" s="74"/>
      <c r="G75" s="16"/>
      <c r="H75" s="1"/>
      <c r="I75" s="1"/>
      <c r="J75" s="19"/>
    </row>
    <row r="76" spans="1:10" x14ac:dyDescent="0.25">
      <c r="A76" s="1">
        <f t="shared" si="1"/>
        <v>3</v>
      </c>
      <c r="B76" s="31" t="s">
        <v>105</v>
      </c>
      <c r="C76" s="58" t="s">
        <v>106</v>
      </c>
      <c r="D76" s="53" t="s">
        <v>335</v>
      </c>
      <c r="E76" s="73"/>
      <c r="F76" s="74"/>
      <c r="G76" s="16"/>
      <c r="H76" s="1"/>
      <c r="I76" s="1"/>
      <c r="J76" s="19"/>
    </row>
    <row r="77" spans="1:10" x14ac:dyDescent="0.25">
      <c r="A77" s="1">
        <f t="shared" si="1"/>
        <v>4</v>
      </c>
      <c r="B77" s="31" t="s">
        <v>107</v>
      </c>
      <c r="C77" s="58"/>
      <c r="D77" s="53" t="s">
        <v>335</v>
      </c>
      <c r="E77" s="73"/>
      <c r="F77" s="74"/>
      <c r="G77" s="16"/>
      <c r="H77" s="1"/>
      <c r="I77" s="1"/>
      <c r="J77" s="19"/>
    </row>
    <row r="78" spans="1:10" x14ac:dyDescent="0.25">
      <c r="A78" s="1">
        <f t="shared" si="1"/>
        <v>5</v>
      </c>
      <c r="B78" s="31" t="s">
        <v>108</v>
      </c>
      <c r="C78" s="58" t="s">
        <v>111</v>
      </c>
      <c r="D78" s="53" t="s">
        <v>334</v>
      </c>
      <c r="E78" s="73"/>
      <c r="F78" s="74"/>
      <c r="G78" s="16"/>
      <c r="H78" s="1"/>
      <c r="I78" s="1"/>
      <c r="J78" s="19"/>
    </row>
    <row r="79" spans="1:10" x14ac:dyDescent="0.25">
      <c r="A79" s="1">
        <f t="shared" si="1"/>
        <v>6</v>
      </c>
      <c r="B79" s="31" t="s">
        <v>109</v>
      </c>
      <c r="C79" s="58" t="s">
        <v>110</v>
      </c>
      <c r="D79" s="53" t="s">
        <v>334</v>
      </c>
      <c r="E79" s="73"/>
      <c r="F79" s="74"/>
      <c r="G79" s="16"/>
      <c r="H79" s="1"/>
      <c r="I79" s="1"/>
      <c r="J79" s="19"/>
    </row>
    <row r="80" spans="1:10" x14ac:dyDescent="0.25">
      <c r="A80" s="1">
        <f t="shared" si="1"/>
        <v>7</v>
      </c>
      <c r="B80" s="31" t="s">
        <v>112</v>
      </c>
      <c r="C80" s="58" t="s">
        <v>113</v>
      </c>
      <c r="D80" s="53" t="s">
        <v>335</v>
      </c>
      <c r="E80" s="73"/>
      <c r="F80" s="74"/>
      <c r="G80" s="16"/>
      <c r="H80" s="1"/>
      <c r="I80" s="1"/>
      <c r="J80" s="19"/>
    </row>
    <row r="81" spans="1:10" x14ac:dyDescent="0.25">
      <c r="A81" s="1">
        <f t="shared" si="1"/>
        <v>8</v>
      </c>
      <c r="B81" s="31" t="s">
        <v>114</v>
      </c>
      <c r="C81" s="58" t="s">
        <v>115</v>
      </c>
      <c r="D81" s="53" t="s">
        <v>335</v>
      </c>
      <c r="E81" s="73"/>
      <c r="F81" s="74"/>
      <c r="G81" s="16"/>
      <c r="H81" s="1"/>
      <c r="I81" s="1"/>
      <c r="J81" s="19"/>
    </row>
    <row r="82" spans="1:10" x14ac:dyDescent="0.25">
      <c r="A82" s="1">
        <f t="shared" si="1"/>
        <v>9</v>
      </c>
      <c r="B82" s="31" t="s">
        <v>116</v>
      </c>
      <c r="C82" s="58" t="s">
        <v>106</v>
      </c>
      <c r="D82" s="53" t="s">
        <v>334</v>
      </c>
      <c r="E82" s="73"/>
      <c r="F82" s="74"/>
      <c r="G82" s="16"/>
      <c r="H82" s="1"/>
      <c r="I82" s="1"/>
      <c r="J82" s="19"/>
    </row>
    <row r="83" spans="1:10" x14ac:dyDescent="0.25">
      <c r="A83" s="1">
        <f t="shared" si="1"/>
        <v>10</v>
      </c>
      <c r="B83" s="31" t="s">
        <v>117</v>
      </c>
      <c r="C83" s="58" t="s">
        <v>118</v>
      </c>
      <c r="D83" s="53" t="s">
        <v>335</v>
      </c>
      <c r="E83" s="73"/>
      <c r="F83" s="74"/>
      <c r="G83" s="16"/>
      <c r="H83" s="1"/>
      <c r="I83" s="1"/>
      <c r="J83" s="19"/>
    </row>
    <row r="84" spans="1:10" x14ac:dyDescent="0.25">
      <c r="A84" s="1">
        <f t="shared" si="1"/>
        <v>11</v>
      </c>
      <c r="B84" s="31" t="s">
        <v>119</v>
      </c>
      <c r="C84" s="58" t="s">
        <v>120</v>
      </c>
      <c r="D84" s="53" t="s">
        <v>335</v>
      </c>
      <c r="E84" s="73"/>
      <c r="F84" s="74"/>
      <c r="G84" s="16"/>
      <c r="H84" s="1"/>
      <c r="I84" s="1"/>
      <c r="J84" s="19"/>
    </row>
    <row r="85" spans="1:10" x14ac:dyDescent="0.25">
      <c r="A85" s="1">
        <f t="shared" si="1"/>
        <v>12</v>
      </c>
      <c r="B85" s="31" t="s">
        <v>121</v>
      </c>
      <c r="C85" s="58" t="s">
        <v>122</v>
      </c>
      <c r="D85" s="53" t="s">
        <v>335</v>
      </c>
      <c r="E85" s="73"/>
      <c r="F85" s="74"/>
      <c r="G85" s="16"/>
      <c r="H85" s="1"/>
      <c r="I85" s="1"/>
      <c r="J85" s="19"/>
    </row>
    <row r="86" spans="1:10" x14ac:dyDescent="0.25">
      <c r="A86" s="1">
        <f t="shared" si="1"/>
        <v>13</v>
      </c>
      <c r="B86" s="31" t="s">
        <v>123</v>
      </c>
      <c r="C86" s="58" t="s">
        <v>124</v>
      </c>
      <c r="D86" s="53" t="s">
        <v>335</v>
      </c>
      <c r="E86" s="73"/>
      <c r="F86" s="74"/>
      <c r="G86" s="16"/>
      <c r="H86" s="1"/>
      <c r="I86" s="1"/>
      <c r="J86" s="19"/>
    </row>
    <row r="87" spans="1:10" x14ac:dyDescent="0.25">
      <c r="A87" s="1">
        <f t="shared" si="1"/>
        <v>14</v>
      </c>
      <c r="B87" s="31" t="s">
        <v>125</v>
      </c>
      <c r="C87" s="58" t="s">
        <v>126</v>
      </c>
      <c r="D87" s="53" t="s">
        <v>335</v>
      </c>
      <c r="E87" s="73"/>
      <c r="F87" s="74"/>
      <c r="G87" s="16"/>
      <c r="H87" s="1"/>
      <c r="I87" s="1"/>
      <c r="J87" s="19"/>
    </row>
    <row r="88" spans="1:10" x14ac:dyDescent="0.25">
      <c r="A88" s="1">
        <f t="shared" si="1"/>
        <v>15</v>
      </c>
      <c r="B88" s="31" t="s">
        <v>127</v>
      </c>
      <c r="C88" s="58" t="s">
        <v>128</v>
      </c>
      <c r="D88" s="53" t="s">
        <v>335</v>
      </c>
      <c r="E88" s="73"/>
      <c r="F88" s="74"/>
      <c r="G88" s="16"/>
      <c r="H88" s="1"/>
      <c r="I88" s="1"/>
      <c r="J88" s="19"/>
    </row>
    <row r="89" spans="1:10" x14ac:dyDescent="0.25">
      <c r="A89" s="1">
        <f t="shared" si="1"/>
        <v>16</v>
      </c>
      <c r="B89" s="31" t="s">
        <v>129</v>
      </c>
      <c r="C89" s="58" t="s">
        <v>130</v>
      </c>
      <c r="D89" s="53" t="s">
        <v>335</v>
      </c>
      <c r="E89" s="73"/>
      <c r="F89" s="74"/>
      <c r="G89" s="16"/>
      <c r="H89" s="1"/>
      <c r="I89" s="1"/>
      <c r="J89" s="19"/>
    </row>
    <row r="90" spans="1:10" x14ac:dyDescent="0.25">
      <c r="A90" s="1">
        <f t="shared" si="1"/>
        <v>17</v>
      </c>
      <c r="B90" s="31" t="s">
        <v>131</v>
      </c>
      <c r="C90" s="58" t="s">
        <v>132</v>
      </c>
      <c r="D90" s="53" t="s">
        <v>335</v>
      </c>
      <c r="E90" s="73"/>
      <c r="F90" s="74"/>
      <c r="G90" s="16"/>
      <c r="H90" s="1"/>
      <c r="I90" s="1"/>
      <c r="J90" s="19"/>
    </row>
    <row r="91" spans="1:10" x14ac:dyDescent="0.25">
      <c r="A91" s="1">
        <f t="shared" si="1"/>
        <v>18</v>
      </c>
      <c r="B91" s="31" t="s">
        <v>133</v>
      </c>
      <c r="C91" s="58" t="s">
        <v>134</v>
      </c>
      <c r="D91" s="53" t="s">
        <v>335</v>
      </c>
      <c r="E91" s="73"/>
      <c r="F91" s="74"/>
      <c r="G91" s="16"/>
      <c r="H91" s="1"/>
      <c r="I91" s="1"/>
      <c r="J91" s="19"/>
    </row>
    <row r="92" spans="1:10" x14ac:dyDescent="0.25">
      <c r="A92" s="1">
        <f t="shared" si="1"/>
        <v>19</v>
      </c>
      <c r="B92" s="31" t="s">
        <v>135</v>
      </c>
      <c r="C92" s="58" t="s">
        <v>136</v>
      </c>
      <c r="D92" s="53" t="s">
        <v>335</v>
      </c>
      <c r="E92" s="73"/>
      <c r="F92" s="74"/>
      <c r="G92" s="16"/>
      <c r="H92" s="1"/>
      <c r="I92" s="1"/>
      <c r="J92" s="19"/>
    </row>
    <row r="93" spans="1:10" x14ac:dyDescent="0.25">
      <c r="A93" s="1">
        <f t="shared" si="1"/>
        <v>20</v>
      </c>
      <c r="B93" s="31" t="s">
        <v>137</v>
      </c>
      <c r="C93" s="58" t="s">
        <v>138</v>
      </c>
      <c r="D93" s="53" t="s">
        <v>335</v>
      </c>
      <c r="E93" s="73"/>
      <c r="F93" s="74"/>
      <c r="G93" s="16"/>
      <c r="H93" s="1"/>
      <c r="I93" s="1"/>
      <c r="J93" s="19"/>
    </row>
    <row r="94" spans="1:10" x14ac:dyDescent="0.25">
      <c r="A94" s="1">
        <f t="shared" si="1"/>
        <v>21</v>
      </c>
      <c r="B94" s="31" t="s">
        <v>139</v>
      </c>
      <c r="C94" s="58" t="s">
        <v>140</v>
      </c>
      <c r="D94" s="53" t="s">
        <v>335</v>
      </c>
      <c r="E94" s="73"/>
      <c r="F94" s="74"/>
      <c r="G94" s="16"/>
      <c r="H94" s="1"/>
      <c r="I94" s="1"/>
      <c r="J94" s="19"/>
    </row>
    <row r="95" spans="1:10" x14ac:dyDescent="0.25">
      <c r="A95" s="1">
        <f t="shared" si="1"/>
        <v>22</v>
      </c>
      <c r="B95" s="31" t="s">
        <v>141</v>
      </c>
      <c r="C95" s="58" t="s">
        <v>142</v>
      </c>
      <c r="D95" s="53" t="s">
        <v>335</v>
      </c>
      <c r="E95" s="73"/>
      <c r="F95" s="74"/>
      <c r="G95" s="16"/>
      <c r="H95" s="1"/>
      <c r="I95" s="1"/>
      <c r="J95" s="19"/>
    </row>
    <row r="96" spans="1:10" x14ac:dyDescent="0.25">
      <c r="A96" s="1">
        <f t="shared" si="1"/>
        <v>23</v>
      </c>
      <c r="B96" s="31" t="s">
        <v>143</v>
      </c>
      <c r="C96" s="58" t="s">
        <v>144</v>
      </c>
      <c r="D96" s="53" t="s">
        <v>335</v>
      </c>
      <c r="E96" s="73"/>
      <c r="F96" s="74"/>
      <c r="G96" s="16"/>
      <c r="H96" s="1"/>
      <c r="I96" s="1"/>
      <c r="J96" s="19"/>
    </row>
    <row r="97" spans="1:10" x14ac:dyDescent="0.25">
      <c r="A97" s="1">
        <f t="shared" si="1"/>
        <v>24</v>
      </c>
      <c r="B97" s="31" t="s">
        <v>145</v>
      </c>
      <c r="C97" s="58" t="s">
        <v>146</v>
      </c>
      <c r="D97" s="53" t="s">
        <v>335</v>
      </c>
      <c r="E97" s="73"/>
      <c r="F97" s="74"/>
      <c r="G97" s="16"/>
      <c r="H97" s="1"/>
      <c r="I97" s="1"/>
      <c r="J97" s="19"/>
    </row>
    <row r="98" spans="1:10" x14ac:dyDescent="0.25">
      <c r="A98" s="1">
        <f t="shared" si="1"/>
        <v>25</v>
      </c>
      <c r="B98" s="31" t="s">
        <v>147</v>
      </c>
      <c r="C98" s="58" t="s">
        <v>148</v>
      </c>
      <c r="D98" s="53" t="s">
        <v>335</v>
      </c>
      <c r="E98" s="73"/>
      <c r="F98" s="74"/>
      <c r="G98" s="16"/>
      <c r="H98" s="1"/>
      <c r="I98" s="1"/>
      <c r="J98" s="19"/>
    </row>
    <row r="99" spans="1:10" x14ac:dyDescent="0.25">
      <c r="A99" s="1">
        <f t="shared" si="1"/>
        <v>26</v>
      </c>
      <c r="B99" s="31" t="s">
        <v>149</v>
      </c>
      <c r="C99" s="58" t="s">
        <v>150</v>
      </c>
      <c r="D99" s="53" t="s">
        <v>335</v>
      </c>
      <c r="E99" s="73"/>
      <c r="F99" s="74"/>
      <c r="G99" s="16"/>
      <c r="H99" s="1"/>
      <c r="I99" s="1"/>
      <c r="J99" s="19"/>
    </row>
    <row r="100" spans="1:10" x14ac:dyDescent="0.25">
      <c r="A100" s="1">
        <f t="shared" si="1"/>
        <v>27</v>
      </c>
      <c r="B100" s="31" t="s">
        <v>151</v>
      </c>
      <c r="C100" s="58" t="s">
        <v>152</v>
      </c>
      <c r="D100" s="53" t="s">
        <v>335</v>
      </c>
      <c r="E100" s="73"/>
      <c r="F100" s="74"/>
      <c r="G100" s="16"/>
      <c r="H100" s="1"/>
      <c r="I100" s="1"/>
      <c r="J100" s="19"/>
    </row>
    <row r="101" spans="1:10" x14ac:dyDescent="0.25">
      <c r="A101" s="1">
        <f t="shared" si="1"/>
        <v>28</v>
      </c>
      <c r="B101" s="31" t="s">
        <v>153</v>
      </c>
      <c r="C101" s="58" t="s">
        <v>154</v>
      </c>
      <c r="D101" s="53" t="s">
        <v>335</v>
      </c>
      <c r="E101" s="73"/>
      <c r="F101" s="74"/>
      <c r="G101" s="16"/>
      <c r="H101" s="1"/>
      <c r="I101" s="1"/>
      <c r="J101" s="19"/>
    </row>
    <row r="102" spans="1:10" x14ac:dyDescent="0.25">
      <c r="A102" s="1">
        <f t="shared" si="1"/>
        <v>29</v>
      </c>
      <c r="B102" s="31" t="s">
        <v>155</v>
      </c>
      <c r="C102" s="58" t="s">
        <v>156</v>
      </c>
      <c r="D102" s="53" t="s">
        <v>335</v>
      </c>
      <c r="E102" s="73"/>
      <c r="F102" s="74"/>
      <c r="G102" s="16"/>
      <c r="H102" s="1"/>
      <c r="I102" s="1"/>
      <c r="J102" s="19"/>
    </row>
    <row r="103" spans="1:10" x14ac:dyDescent="0.25">
      <c r="A103" s="1">
        <f t="shared" si="1"/>
        <v>30</v>
      </c>
      <c r="B103" s="31" t="s">
        <v>157</v>
      </c>
      <c r="C103" s="58" t="s">
        <v>158</v>
      </c>
      <c r="D103" s="53" t="s">
        <v>335</v>
      </c>
      <c r="E103" s="73"/>
      <c r="F103" s="74"/>
      <c r="G103" s="16"/>
      <c r="H103" s="1"/>
      <c r="I103" s="1"/>
      <c r="J103" s="19"/>
    </row>
    <row r="104" spans="1:10" x14ac:dyDescent="0.25">
      <c r="A104" s="1">
        <f t="shared" si="1"/>
        <v>31</v>
      </c>
      <c r="B104" s="31" t="s">
        <v>159</v>
      </c>
      <c r="C104" s="58" t="s">
        <v>160</v>
      </c>
      <c r="D104" s="53" t="s">
        <v>335</v>
      </c>
      <c r="E104" s="73"/>
      <c r="F104" s="74"/>
      <c r="G104" s="16"/>
      <c r="H104" s="1"/>
      <c r="I104" s="1"/>
      <c r="J104" s="19"/>
    </row>
    <row r="105" spans="1:10" x14ac:dyDescent="0.25">
      <c r="A105" s="1">
        <f t="shared" si="1"/>
        <v>32</v>
      </c>
      <c r="B105" s="56" t="s">
        <v>161</v>
      </c>
      <c r="C105" s="57" t="s">
        <v>162</v>
      </c>
      <c r="D105" s="53" t="s">
        <v>335</v>
      </c>
      <c r="E105" s="73"/>
      <c r="F105" s="74"/>
      <c r="G105" s="16"/>
      <c r="H105" s="1"/>
      <c r="I105" s="1"/>
      <c r="J105" s="19"/>
    </row>
    <row r="106" spans="1:10" x14ac:dyDescent="0.25">
      <c r="A106" s="1">
        <f t="shared" si="1"/>
        <v>33</v>
      </c>
      <c r="B106" s="31" t="s">
        <v>163</v>
      </c>
      <c r="C106" s="58" t="s">
        <v>164</v>
      </c>
      <c r="D106" s="53" t="s">
        <v>335</v>
      </c>
      <c r="E106" s="73"/>
      <c r="F106" s="74"/>
      <c r="G106" s="16"/>
      <c r="H106" s="1"/>
      <c r="I106" s="1"/>
      <c r="J106" s="19"/>
    </row>
    <row r="107" spans="1:10" x14ac:dyDescent="0.25">
      <c r="A107" s="1">
        <f t="shared" si="1"/>
        <v>34</v>
      </c>
      <c r="B107" s="31" t="s">
        <v>165</v>
      </c>
      <c r="C107" s="58" t="s">
        <v>166</v>
      </c>
      <c r="D107" s="53" t="s">
        <v>335</v>
      </c>
      <c r="E107" s="73"/>
      <c r="F107" s="74"/>
      <c r="G107" s="16"/>
      <c r="H107" s="1"/>
      <c r="I107" s="1"/>
      <c r="J107" s="19"/>
    </row>
    <row r="108" spans="1:10" x14ac:dyDescent="0.25">
      <c r="A108" s="1">
        <f t="shared" si="1"/>
        <v>35</v>
      </c>
      <c r="B108" s="31" t="s">
        <v>167</v>
      </c>
      <c r="C108" s="58" t="s">
        <v>168</v>
      </c>
      <c r="D108" s="53" t="s">
        <v>335</v>
      </c>
      <c r="E108" s="73"/>
      <c r="F108" s="74"/>
      <c r="G108" s="16"/>
      <c r="H108" s="1"/>
      <c r="I108" s="1"/>
      <c r="J108" s="19"/>
    </row>
    <row r="109" spans="1:10" x14ac:dyDescent="0.25">
      <c r="A109" s="1">
        <f t="shared" si="1"/>
        <v>36</v>
      </c>
      <c r="B109" s="31" t="s">
        <v>169</v>
      </c>
      <c r="C109" s="58" t="s">
        <v>170</v>
      </c>
      <c r="D109" s="53" t="s">
        <v>335</v>
      </c>
      <c r="E109" s="73"/>
      <c r="F109" s="74"/>
      <c r="G109" s="16"/>
      <c r="H109" s="1"/>
      <c r="I109" s="1"/>
      <c r="J109" s="19"/>
    </row>
    <row r="110" spans="1:10" x14ac:dyDescent="0.25">
      <c r="A110" s="1">
        <f t="shared" si="1"/>
        <v>37</v>
      </c>
      <c r="B110" s="31" t="s">
        <v>171</v>
      </c>
      <c r="C110" s="58" t="s">
        <v>172</v>
      </c>
      <c r="D110" s="53" t="s">
        <v>335</v>
      </c>
      <c r="E110" s="73"/>
      <c r="F110" s="74"/>
      <c r="G110" s="16"/>
      <c r="H110" s="1"/>
      <c r="I110" s="1"/>
      <c r="J110" s="19"/>
    </row>
    <row r="111" spans="1:10" x14ac:dyDescent="0.25">
      <c r="A111" s="1">
        <f t="shared" si="1"/>
        <v>38</v>
      </c>
      <c r="B111" s="31" t="s">
        <v>173</v>
      </c>
      <c r="C111" s="58" t="s">
        <v>174</v>
      </c>
      <c r="D111" s="53" t="s">
        <v>335</v>
      </c>
      <c r="E111" s="73"/>
      <c r="F111" s="74"/>
      <c r="G111" s="16"/>
      <c r="H111" s="1"/>
      <c r="I111" s="1"/>
      <c r="J111" s="19"/>
    </row>
    <row r="112" spans="1:10" x14ac:dyDescent="0.25">
      <c r="A112" s="1">
        <f t="shared" si="1"/>
        <v>39</v>
      </c>
      <c r="B112" s="31" t="s">
        <v>175</v>
      </c>
      <c r="C112" s="58" t="s">
        <v>176</v>
      </c>
      <c r="D112" s="53" t="s">
        <v>335</v>
      </c>
      <c r="E112" s="73"/>
      <c r="F112" s="74"/>
      <c r="G112" s="16"/>
      <c r="H112" s="1"/>
      <c r="I112" s="1"/>
      <c r="J112" s="19"/>
    </row>
    <row r="113" spans="1:10" x14ac:dyDescent="0.25">
      <c r="A113" s="1">
        <f t="shared" si="1"/>
        <v>40</v>
      </c>
      <c r="B113" s="31" t="s">
        <v>177</v>
      </c>
      <c r="C113" s="58" t="s">
        <v>178</v>
      </c>
      <c r="D113" s="53" t="s">
        <v>335</v>
      </c>
      <c r="E113" s="73"/>
      <c r="F113" s="74"/>
      <c r="G113" s="16"/>
      <c r="H113" s="1"/>
      <c r="I113" s="1"/>
      <c r="J113" s="19"/>
    </row>
    <row r="114" spans="1:10" x14ac:dyDescent="0.25">
      <c r="A114" s="1">
        <f t="shared" si="1"/>
        <v>41</v>
      </c>
      <c r="B114" s="31" t="s">
        <v>179</v>
      </c>
      <c r="C114" s="58" t="s">
        <v>180</v>
      </c>
      <c r="D114" s="53" t="s">
        <v>335</v>
      </c>
      <c r="E114" s="73"/>
      <c r="F114" s="74"/>
      <c r="G114" s="16"/>
      <c r="H114" s="1"/>
      <c r="I114" s="1"/>
      <c r="J114" s="19"/>
    </row>
    <row r="115" spans="1:10" x14ac:dyDescent="0.25">
      <c r="A115" s="1">
        <f t="shared" si="1"/>
        <v>42</v>
      </c>
      <c r="B115" s="31" t="s">
        <v>181</v>
      </c>
      <c r="C115" s="58" t="s">
        <v>182</v>
      </c>
      <c r="D115" s="53" t="s">
        <v>335</v>
      </c>
      <c r="E115" s="73"/>
      <c r="F115" s="74"/>
      <c r="G115" s="16"/>
      <c r="H115" s="1"/>
      <c r="I115" s="1"/>
      <c r="J115" s="19"/>
    </row>
    <row r="116" spans="1:10" x14ac:dyDescent="0.25">
      <c r="A116" s="1">
        <f t="shared" si="1"/>
        <v>43</v>
      </c>
      <c r="B116" s="31" t="s">
        <v>183</v>
      </c>
      <c r="C116" s="58" t="s">
        <v>184</v>
      </c>
      <c r="D116" s="53" t="s">
        <v>335</v>
      </c>
      <c r="E116" s="73"/>
      <c r="F116" s="74"/>
      <c r="G116" s="16"/>
      <c r="H116" s="1"/>
      <c r="I116" s="1"/>
      <c r="J116" s="19"/>
    </row>
    <row r="117" spans="1:10" x14ac:dyDescent="0.25">
      <c r="A117" s="1">
        <f t="shared" si="1"/>
        <v>44</v>
      </c>
      <c r="B117" s="31" t="s">
        <v>185</v>
      </c>
      <c r="C117" s="58" t="s">
        <v>186</v>
      </c>
      <c r="D117" s="53" t="s">
        <v>335</v>
      </c>
      <c r="E117" s="73"/>
      <c r="F117" s="74"/>
      <c r="G117" s="16"/>
      <c r="H117" s="1"/>
      <c r="I117" s="1"/>
      <c r="J117" s="19"/>
    </row>
    <row r="118" spans="1:10" x14ac:dyDescent="0.25">
      <c r="A118" s="1">
        <f t="shared" si="1"/>
        <v>45</v>
      </c>
      <c r="B118" s="31" t="s">
        <v>187</v>
      </c>
      <c r="C118" s="58" t="s">
        <v>188</v>
      </c>
      <c r="D118" s="53" t="s">
        <v>335</v>
      </c>
      <c r="E118" s="73"/>
      <c r="F118" s="74"/>
      <c r="G118" s="16"/>
      <c r="H118" s="1"/>
      <c r="I118" s="1"/>
      <c r="J118" s="19"/>
    </row>
    <row r="119" spans="1:10" x14ac:dyDescent="0.25">
      <c r="A119" s="1">
        <f t="shared" si="1"/>
        <v>46</v>
      </c>
      <c r="B119" s="31" t="s">
        <v>189</v>
      </c>
      <c r="C119" s="58" t="s">
        <v>190</v>
      </c>
      <c r="D119" s="53" t="s">
        <v>335</v>
      </c>
      <c r="E119" s="73"/>
      <c r="F119" s="74"/>
      <c r="G119" s="16"/>
      <c r="H119" s="1"/>
      <c r="I119" s="1"/>
      <c r="J119" s="19"/>
    </row>
    <row r="120" spans="1:10" x14ac:dyDescent="0.25">
      <c r="A120" s="1">
        <f t="shared" si="1"/>
        <v>47</v>
      </c>
      <c r="B120" s="31" t="s">
        <v>191</v>
      </c>
      <c r="C120" s="58" t="s">
        <v>192</v>
      </c>
      <c r="D120" s="53" t="s">
        <v>335</v>
      </c>
      <c r="E120" s="73"/>
      <c r="F120" s="74"/>
      <c r="G120" s="16"/>
      <c r="H120" s="1"/>
      <c r="I120" s="1"/>
      <c r="J120" s="19"/>
    </row>
    <row r="121" spans="1:10" x14ac:dyDescent="0.25">
      <c r="A121" s="1">
        <f t="shared" si="1"/>
        <v>48</v>
      </c>
      <c r="B121" s="31" t="s">
        <v>193</v>
      </c>
      <c r="C121" s="58" t="s">
        <v>194</v>
      </c>
      <c r="D121" s="53" t="s">
        <v>335</v>
      </c>
      <c r="E121" s="73"/>
      <c r="F121" s="74"/>
      <c r="G121" s="16"/>
      <c r="H121" s="1"/>
      <c r="I121" s="1"/>
      <c r="J121" s="19"/>
    </row>
    <row r="122" spans="1:10" x14ac:dyDescent="0.25">
      <c r="A122" s="1">
        <f t="shared" si="1"/>
        <v>49</v>
      </c>
      <c r="B122" s="31" t="s">
        <v>195</v>
      </c>
      <c r="C122" s="58" t="s">
        <v>196</v>
      </c>
      <c r="D122" s="53" t="s">
        <v>335</v>
      </c>
      <c r="E122" s="73"/>
      <c r="F122" s="74"/>
      <c r="G122" s="16"/>
      <c r="H122" s="1"/>
      <c r="I122" s="1"/>
      <c r="J122" s="19"/>
    </row>
    <row r="123" spans="1:10" x14ac:dyDescent="0.25">
      <c r="A123" s="1">
        <f t="shared" si="1"/>
        <v>50</v>
      </c>
      <c r="B123" s="31" t="s">
        <v>197</v>
      </c>
      <c r="C123" s="58" t="s">
        <v>198</v>
      </c>
      <c r="D123" s="53" t="s">
        <v>335</v>
      </c>
      <c r="E123" s="73"/>
      <c r="F123" s="74"/>
      <c r="G123" s="16"/>
      <c r="H123" s="1"/>
      <c r="I123" s="1"/>
      <c r="J123" s="19"/>
    </row>
    <row r="124" spans="1:10" x14ac:dyDescent="0.25">
      <c r="A124" s="1">
        <f t="shared" si="1"/>
        <v>51</v>
      </c>
      <c r="B124" s="31" t="s">
        <v>199</v>
      </c>
      <c r="C124" s="58" t="s">
        <v>200</v>
      </c>
      <c r="D124" s="53" t="s">
        <v>335</v>
      </c>
      <c r="E124" s="73"/>
      <c r="F124" s="74"/>
      <c r="G124" s="16"/>
      <c r="H124" s="1"/>
      <c r="I124" s="1"/>
      <c r="J124" s="19"/>
    </row>
    <row r="125" spans="1:10" x14ac:dyDescent="0.25">
      <c r="A125" s="1">
        <f t="shared" si="1"/>
        <v>52</v>
      </c>
      <c r="B125" s="31" t="s">
        <v>201</v>
      </c>
      <c r="C125" s="58" t="s">
        <v>202</v>
      </c>
      <c r="D125" s="53" t="s">
        <v>335</v>
      </c>
      <c r="E125" s="73"/>
      <c r="F125" s="74"/>
      <c r="G125" s="16"/>
      <c r="H125" s="1"/>
      <c r="I125" s="1"/>
      <c r="J125" s="19"/>
    </row>
    <row r="126" spans="1:10" x14ac:dyDescent="0.25">
      <c r="A126" s="1">
        <f t="shared" si="1"/>
        <v>53</v>
      </c>
      <c r="B126" s="31" t="s">
        <v>203</v>
      </c>
      <c r="C126" s="58" t="s">
        <v>204</v>
      </c>
      <c r="D126" s="53" t="s">
        <v>335</v>
      </c>
      <c r="E126" s="73"/>
      <c r="F126" s="74"/>
      <c r="G126" s="16"/>
      <c r="H126" s="1"/>
      <c r="I126" s="1"/>
      <c r="J126" s="19"/>
    </row>
    <row r="127" spans="1:10" x14ac:dyDescent="0.25">
      <c r="A127" s="1">
        <f t="shared" si="1"/>
        <v>54</v>
      </c>
      <c r="B127" s="31" t="s">
        <v>205</v>
      </c>
      <c r="C127" s="58" t="s">
        <v>206</v>
      </c>
      <c r="D127" s="53" t="s">
        <v>335</v>
      </c>
      <c r="E127" s="73"/>
      <c r="F127" s="74"/>
      <c r="G127" s="16"/>
      <c r="H127" s="1"/>
      <c r="I127" s="1"/>
      <c r="J127" s="19"/>
    </row>
    <row r="128" spans="1:10" x14ac:dyDescent="0.25">
      <c r="A128" s="1">
        <f t="shared" si="1"/>
        <v>55</v>
      </c>
      <c r="B128" s="31" t="s">
        <v>207</v>
      </c>
      <c r="C128" s="58" t="s">
        <v>208</v>
      </c>
      <c r="D128" s="53" t="s">
        <v>335</v>
      </c>
      <c r="E128" s="73"/>
      <c r="F128" s="74"/>
      <c r="G128" s="16"/>
      <c r="H128" s="1"/>
      <c r="I128" s="1"/>
      <c r="J128" s="19"/>
    </row>
    <row r="129" spans="1:10" x14ac:dyDescent="0.25">
      <c r="A129" s="1">
        <f t="shared" si="1"/>
        <v>56</v>
      </c>
      <c r="B129" s="31" t="s">
        <v>209</v>
      </c>
      <c r="C129" s="58" t="s">
        <v>210</v>
      </c>
      <c r="D129" s="53" t="s">
        <v>335</v>
      </c>
      <c r="E129" s="73"/>
      <c r="F129" s="74"/>
      <c r="G129" s="16"/>
      <c r="H129" s="1"/>
      <c r="I129" s="1"/>
      <c r="J129" s="19"/>
    </row>
    <row r="130" spans="1:10" x14ac:dyDescent="0.25">
      <c r="A130" s="1">
        <f t="shared" si="1"/>
        <v>57</v>
      </c>
      <c r="B130" s="31" t="s">
        <v>211</v>
      </c>
      <c r="C130" s="58" t="s">
        <v>212</v>
      </c>
      <c r="D130" s="53" t="s">
        <v>335</v>
      </c>
      <c r="E130" s="73"/>
      <c r="F130" s="74"/>
      <c r="G130" s="16"/>
      <c r="H130" s="1"/>
      <c r="I130" s="1"/>
      <c r="J130" s="19"/>
    </row>
    <row r="131" spans="1:10" x14ac:dyDescent="0.25">
      <c r="A131" s="1">
        <f t="shared" si="1"/>
        <v>58</v>
      </c>
      <c r="B131" s="31" t="s">
        <v>218</v>
      </c>
      <c r="C131" s="58" t="s">
        <v>217</v>
      </c>
      <c r="D131" s="53" t="s">
        <v>335</v>
      </c>
      <c r="E131" s="73"/>
      <c r="F131" s="74"/>
      <c r="G131" s="16"/>
      <c r="H131" s="1"/>
      <c r="I131" s="1"/>
      <c r="J131" s="19"/>
    </row>
    <row r="132" spans="1:10" x14ac:dyDescent="0.25">
      <c r="A132" s="1">
        <f t="shared" si="1"/>
        <v>59</v>
      </c>
      <c r="B132" s="31" t="s">
        <v>213</v>
      </c>
      <c r="C132" s="58" t="s">
        <v>214</v>
      </c>
      <c r="D132" s="53" t="s">
        <v>335</v>
      </c>
      <c r="E132" s="73"/>
      <c r="F132" s="74"/>
      <c r="G132" s="16"/>
      <c r="H132" s="1"/>
      <c r="I132" s="1"/>
      <c r="J132" s="19"/>
    </row>
    <row r="133" spans="1:10" x14ac:dyDescent="0.25">
      <c r="A133" s="1">
        <f t="shared" si="1"/>
        <v>60</v>
      </c>
      <c r="B133" s="31" t="s">
        <v>215</v>
      </c>
      <c r="C133" s="58" t="s">
        <v>216</v>
      </c>
      <c r="D133" s="53" t="s">
        <v>335</v>
      </c>
      <c r="E133" s="73"/>
      <c r="F133" s="74"/>
      <c r="G133" s="16"/>
      <c r="H133" s="1"/>
      <c r="I133" s="1"/>
      <c r="J133" s="19"/>
    </row>
    <row r="134" spans="1:10" x14ac:dyDescent="0.25">
      <c r="A134" s="1">
        <f t="shared" si="1"/>
        <v>61</v>
      </c>
      <c r="B134" s="31" t="s">
        <v>219</v>
      </c>
      <c r="C134" s="58" t="s">
        <v>220</v>
      </c>
      <c r="D134" s="53" t="s">
        <v>335</v>
      </c>
      <c r="E134" s="73"/>
      <c r="F134" s="74"/>
      <c r="G134" s="16"/>
      <c r="H134" s="1"/>
      <c r="I134" s="1"/>
      <c r="J134" s="19"/>
    </row>
    <row r="135" spans="1:10" x14ac:dyDescent="0.25">
      <c r="A135" s="1">
        <f t="shared" si="1"/>
        <v>62</v>
      </c>
      <c r="B135" s="31" t="s">
        <v>221</v>
      </c>
      <c r="C135" s="58" t="s">
        <v>222</v>
      </c>
      <c r="D135" s="53" t="s">
        <v>335</v>
      </c>
      <c r="E135" s="73"/>
      <c r="F135" s="74"/>
      <c r="G135" s="16"/>
      <c r="H135" s="1"/>
      <c r="I135" s="1"/>
      <c r="J135" s="19"/>
    </row>
    <row r="136" spans="1:10" x14ac:dyDescent="0.25">
      <c r="A136" s="1">
        <f t="shared" si="1"/>
        <v>63</v>
      </c>
      <c r="B136" s="31" t="s">
        <v>223</v>
      </c>
      <c r="C136" s="58" t="s">
        <v>224</v>
      </c>
      <c r="D136" s="53" t="s">
        <v>335</v>
      </c>
      <c r="E136" s="73"/>
      <c r="F136" s="74"/>
      <c r="G136" s="16"/>
      <c r="H136" s="1"/>
      <c r="I136" s="1"/>
      <c r="J136" s="19"/>
    </row>
    <row r="137" spans="1:10" x14ac:dyDescent="0.25">
      <c r="A137" s="1">
        <f t="shared" si="1"/>
        <v>64</v>
      </c>
      <c r="B137" s="31" t="s">
        <v>225</v>
      </c>
      <c r="C137" s="58" t="s">
        <v>226</v>
      </c>
      <c r="D137" s="53" t="s">
        <v>335</v>
      </c>
      <c r="E137" s="73"/>
      <c r="F137" s="74"/>
      <c r="G137" s="16"/>
      <c r="H137" s="1"/>
      <c r="I137" s="1"/>
      <c r="J137" s="19"/>
    </row>
    <row r="138" spans="1:10" x14ac:dyDescent="0.25">
      <c r="A138" s="1">
        <f t="shared" si="1"/>
        <v>65</v>
      </c>
      <c r="B138" s="31" t="s">
        <v>227</v>
      </c>
      <c r="C138" s="58" t="s">
        <v>228</v>
      </c>
      <c r="D138" s="53" t="s">
        <v>335</v>
      </c>
      <c r="E138" s="73"/>
      <c r="F138" s="74"/>
      <c r="G138" s="16"/>
      <c r="H138" s="1"/>
      <c r="I138" s="1"/>
      <c r="J138" s="19"/>
    </row>
    <row r="139" spans="1:10" x14ac:dyDescent="0.25">
      <c r="A139" s="1">
        <f t="shared" ref="A139:A202" si="2">A138+1</f>
        <v>66</v>
      </c>
      <c r="B139" s="31" t="s">
        <v>229</v>
      </c>
      <c r="C139" s="58" t="s">
        <v>230</v>
      </c>
      <c r="D139" s="53" t="s">
        <v>335</v>
      </c>
      <c r="E139" s="73"/>
      <c r="F139" s="74"/>
      <c r="G139" s="16"/>
      <c r="H139" s="1"/>
      <c r="I139" s="1"/>
      <c r="J139" s="19"/>
    </row>
    <row r="140" spans="1:10" x14ac:dyDescent="0.25">
      <c r="A140" s="1">
        <f t="shared" si="2"/>
        <v>67</v>
      </c>
      <c r="B140" s="31" t="s">
        <v>231</v>
      </c>
      <c r="C140" s="58" t="s">
        <v>232</v>
      </c>
      <c r="D140" s="53" t="s">
        <v>335</v>
      </c>
      <c r="E140" s="73"/>
      <c r="F140" s="74"/>
      <c r="G140" s="16"/>
      <c r="H140" s="1"/>
      <c r="I140" s="1"/>
      <c r="J140" s="19"/>
    </row>
    <row r="141" spans="1:10" x14ac:dyDescent="0.25">
      <c r="A141" s="1">
        <f t="shared" si="2"/>
        <v>68</v>
      </c>
      <c r="B141" s="31" t="s">
        <v>233</v>
      </c>
      <c r="C141" s="58" t="s">
        <v>234</v>
      </c>
      <c r="D141" s="53" t="s">
        <v>335</v>
      </c>
      <c r="E141" s="73"/>
      <c r="F141" s="74"/>
      <c r="G141" s="16"/>
      <c r="H141" s="1"/>
      <c r="I141" s="1"/>
      <c r="J141" s="19"/>
    </row>
    <row r="142" spans="1:10" x14ac:dyDescent="0.25">
      <c r="A142" s="1">
        <f t="shared" si="2"/>
        <v>69</v>
      </c>
      <c r="B142" s="31" t="s">
        <v>235</v>
      </c>
      <c r="C142" s="58" t="s">
        <v>236</v>
      </c>
      <c r="D142" s="53" t="s">
        <v>335</v>
      </c>
      <c r="E142" s="73"/>
      <c r="F142" s="74"/>
      <c r="G142" s="16"/>
      <c r="H142" s="1"/>
      <c r="I142" s="1"/>
      <c r="J142" s="19"/>
    </row>
    <row r="143" spans="1:10" x14ac:dyDescent="0.25">
      <c r="A143" s="1">
        <f t="shared" si="2"/>
        <v>70</v>
      </c>
      <c r="B143" s="56" t="s">
        <v>237</v>
      </c>
      <c r="C143" s="57" t="s">
        <v>238</v>
      </c>
      <c r="D143" s="53" t="s">
        <v>335</v>
      </c>
      <c r="E143" s="73"/>
      <c r="F143" s="74"/>
      <c r="G143" s="16"/>
      <c r="H143" s="1"/>
      <c r="I143" s="1"/>
      <c r="J143" s="19"/>
    </row>
    <row r="144" spans="1:10" x14ac:dyDescent="0.25">
      <c r="A144" s="1">
        <f t="shared" si="2"/>
        <v>71</v>
      </c>
      <c r="B144" s="31" t="s">
        <v>239</v>
      </c>
      <c r="C144" s="58" t="s">
        <v>240</v>
      </c>
      <c r="D144" s="53" t="s">
        <v>335</v>
      </c>
      <c r="E144" s="73"/>
      <c r="F144" s="74"/>
      <c r="G144" s="16"/>
      <c r="H144" s="1"/>
      <c r="I144" s="1"/>
      <c r="J144" s="19"/>
    </row>
    <row r="145" spans="1:10" x14ac:dyDescent="0.25">
      <c r="A145" s="1">
        <f t="shared" si="2"/>
        <v>72</v>
      </c>
      <c r="B145" s="31" t="s">
        <v>241</v>
      </c>
      <c r="C145" s="58" t="s">
        <v>242</v>
      </c>
      <c r="D145" s="53" t="s">
        <v>335</v>
      </c>
      <c r="E145" s="73"/>
      <c r="F145" s="74"/>
      <c r="G145" s="16"/>
      <c r="H145" s="1"/>
      <c r="I145" s="1"/>
      <c r="J145" s="19"/>
    </row>
    <row r="146" spans="1:10" x14ac:dyDescent="0.25">
      <c r="A146" s="1">
        <f t="shared" si="2"/>
        <v>73</v>
      </c>
      <c r="B146" s="31" t="s">
        <v>243</v>
      </c>
      <c r="C146" s="58" t="s">
        <v>244</v>
      </c>
      <c r="D146" s="53" t="s">
        <v>335</v>
      </c>
      <c r="E146" s="73"/>
      <c r="F146" s="74"/>
      <c r="G146" s="16"/>
      <c r="H146" s="1"/>
      <c r="I146" s="1"/>
      <c r="J146" s="19"/>
    </row>
    <row r="147" spans="1:10" x14ac:dyDescent="0.25">
      <c r="A147" s="1">
        <f t="shared" si="2"/>
        <v>74</v>
      </c>
      <c r="B147" s="31" t="s">
        <v>245</v>
      </c>
      <c r="C147" s="58" t="s">
        <v>246</v>
      </c>
      <c r="D147" s="53" t="s">
        <v>335</v>
      </c>
      <c r="E147" s="73"/>
      <c r="F147" s="74"/>
      <c r="G147" s="16"/>
      <c r="H147" s="1"/>
      <c r="I147" s="1"/>
      <c r="J147" s="19"/>
    </row>
    <row r="148" spans="1:10" x14ac:dyDescent="0.25">
      <c r="A148" s="1">
        <f>A147+1</f>
        <v>75</v>
      </c>
      <c r="B148" s="31" t="s">
        <v>247</v>
      </c>
      <c r="C148" s="58" t="s">
        <v>248</v>
      </c>
      <c r="D148" s="53" t="s">
        <v>335</v>
      </c>
      <c r="E148" s="73"/>
      <c r="F148" s="74"/>
      <c r="G148" s="16"/>
      <c r="H148" s="1"/>
      <c r="I148" s="1"/>
      <c r="J148" s="19"/>
    </row>
    <row r="149" spans="1:10" x14ac:dyDescent="0.25">
      <c r="A149" s="1">
        <f t="shared" si="2"/>
        <v>76</v>
      </c>
      <c r="B149" s="31" t="s">
        <v>249</v>
      </c>
      <c r="C149" s="58"/>
      <c r="D149" s="53" t="s">
        <v>335</v>
      </c>
      <c r="E149" s="73"/>
      <c r="F149" s="74"/>
      <c r="G149" s="16"/>
      <c r="H149" s="1"/>
      <c r="I149" s="1"/>
      <c r="J149" s="19"/>
    </row>
    <row r="150" spans="1:10" x14ac:dyDescent="0.25">
      <c r="A150" s="1">
        <f t="shared" si="2"/>
        <v>77</v>
      </c>
      <c r="B150" s="31" t="s">
        <v>250</v>
      </c>
      <c r="C150" s="58"/>
      <c r="D150" s="53" t="s">
        <v>335</v>
      </c>
      <c r="E150" s="73"/>
      <c r="F150" s="74"/>
      <c r="G150" s="16"/>
      <c r="H150" s="1"/>
      <c r="I150" s="1"/>
      <c r="J150" s="19"/>
    </row>
    <row r="151" spans="1:10" x14ac:dyDescent="0.25">
      <c r="A151" s="1">
        <f t="shared" si="2"/>
        <v>78</v>
      </c>
      <c r="B151" s="31" t="s">
        <v>251</v>
      </c>
      <c r="C151" s="58"/>
      <c r="D151" s="53" t="s">
        <v>335</v>
      </c>
      <c r="E151" s="73"/>
      <c r="F151" s="74"/>
      <c r="G151" s="16"/>
      <c r="H151" s="9"/>
      <c r="I151" s="1"/>
      <c r="J151" s="19"/>
    </row>
    <row r="152" spans="1:10" x14ac:dyDescent="0.25">
      <c r="A152" s="1">
        <f t="shared" si="2"/>
        <v>79</v>
      </c>
      <c r="B152" s="31" t="s">
        <v>252</v>
      </c>
      <c r="C152" s="58" t="s">
        <v>253</v>
      </c>
      <c r="D152" s="53" t="s">
        <v>335</v>
      </c>
      <c r="E152" s="73"/>
      <c r="F152" s="74"/>
      <c r="G152" s="16"/>
      <c r="H152" s="9"/>
      <c r="I152" s="1"/>
      <c r="J152" s="19"/>
    </row>
    <row r="153" spans="1:10" x14ac:dyDescent="0.25">
      <c r="A153" s="1">
        <f t="shared" si="2"/>
        <v>80</v>
      </c>
      <c r="B153" s="31" t="s">
        <v>254</v>
      </c>
      <c r="C153" s="58" t="s">
        <v>255</v>
      </c>
      <c r="D153" s="53" t="s">
        <v>335</v>
      </c>
      <c r="E153" s="73"/>
      <c r="F153" s="74"/>
      <c r="G153" s="16"/>
      <c r="H153" s="1"/>
      <c r="I153" s="1"/>
      <c r="J153" s="19"/>
    </row>
    <row r="154" spans="1:10" x14ac:dyDescent="0.25">
      <c r="A154" s="1">
        <f t="shared" si="2"/>
        <v>81</v>
      </c>
      <c r="B154" s="31" t="s">
        <v>4</v>
      </c>
      <c r="C154" s="58"/>
      <c r="D154" s="53" t="s">
        <v>335</v>
      </c>
      <c r="E154" s="73"/>
      <c r="F154" s="74"/>
      <c r="G154" s="16"/>
      <c r="H154" s="1"/>
      <c r="I154" s="1"/>
      <c r="J154" s="19"/>
    </row>
    <row r="155" spans="1:10" x14ac:dyDescent="0.25">
      <c r="A155" s="1">
        <f t="shared" si="2"/>
        <v>82</v>
      </c>
      <c r="B155" s="31" t="s">
        <v>256</v>
      </c>
      <c r="C155" s="58" t="s">
        <v>257</v>
      </c>
      <c r="D155" s="53" t="s">
        <v>335</v>
      </c>
      <c r="E155" s="73"/>
      <c r="F155" s="74"/>
      <c r="G155" s="16"/>
      <c r="H155" s="1"/>
      <c r="I155" s="1"/>
      <c r="J155" s="19"/>
    </row>
    <row r="156" spans="1:10" x14ac:dyDescent="0.25">
      <c r="A156" s="1">
        <f t="shared" si="2"/>
        <v>83</v>
      </c>
      <c r="B156" s="31" t="s">
        <v>258</v>
      </c>
      <c r="C156" s="58" t="s">
        <v>259</v>
      </c>
      <c r="D156" s="53" t="s">
        <v>335</v>
      </c>
      <c r="E156" s="73"/>
      <c r="F156" s="74"/>
      <c r="G156" s="16"/>
      <c r="H156" s="1"/>
      <c r="I156" s="1"/>
      <c r="J156" s="19"/>
    </row>
    <row r="157" spans="1:10" x14ac:dyDescent="0.25">
      <c r="A157" s="1">
        <f t="shared" si="2"/>
        <v>84</v>
      </c>
      <c r="B157" s="31" t="s">
        <v>260</v>
      </c>
      <c r="C157" s="58" t="s">
        <v>261</v>
      </c>
      <c r="D157" s="53" t="s">
        <v>335</v>
      </c>
      <c r="E157" s="73"/>
      <c r="F157" s="74"/>
      <c r="G157" s="16"/>
      <c r="H157" s="1"/>
      <c r="I157" s="1"/>
      <c r="J157" s="19"/>
    </row>
    <row r="158" spans="1:10" x14ac:dyDescent="0.25">
      <c r="A158" s="1">
        <f t="shared" si="2"/>
        <v>85</v>
      </c>
      <c r="B158" s="31" t="s">
        <v>262</v>
      </c>
      <c r="C158" s="58" t="s">
        <v>263</v>
      </c>
      <c r="D158" s="53" t="s">
        <v>335</v>
      </c>
      <c r="E158" s="73"/>
      <c r="F158" s="74"/>
      <c r="G158" s="16"/>
      <c r="H158" s="1"/>
      <c r="I158" s="1"/>
      <c r="J158" s="19"/>
    </row>
    <row r="159" spans="1:10" x14ac:dyDescent="0.25">
      <c r="A159" s="1">
        <f t="shared" si="2"/>
        <v>86</v>
      </c>
      <c r="B159" s="31" t="s">
        <v>264</v>
      </c>
      <c r="C159" s="58" t="s">
        <v>265</v>
      </c>
      <c r="D159" s="53" t="s">
        <v>335</v>
      </c>
      <c r="E159" s="73"/>
      <c r="F159" s="74"/>
      <c r="G159" s="16"/>
      <c r="H159" s="1"/>
      <c r="I159" s="1"/>
      <c r="J159" s="19"/>
    </row>
    <row r="160" spans="1:10" x14ac:dyDescent="0.25">
      <c r="A160" s="1">
        <f t="shared" si="2"/>
        <v>87</v>
      </c>
      <c r="B160" s="31" t="s">
        <v>266</v>
      </c>
      <c r="C160" s="58" t="s">
        <v>267</v>
      </c>
      <c r="D160" s="53" t="s">
        <v>335</v>
      </c>
      <c r="E160" s="73"/>
      <c r="F160" s="74"/>
      <c r="G160" s="16"/>
      <c r="H160" s="1"/>
      <c r="I160" s="1"/>
      <c r="J160" s="19"/>
    </row>
    <row r="161" spans="1:10" x14ac:dyDescent="0.25">
      <c r="A161" s="1">
        <f t="shared" si="2"/>
        <v>88</v>
      </c>
      <c r="B161" s="31" t="s">
        <v>268</v>
      </c>
      <c r="C161" s="58" t="s">
        <v>269</v>
      </c>
      <c r="D161" s="53" t="s">
        <v>335</v>
      </c>
      <c r="E161" s="73"/>
      <c r="F161" s="74"/>
      <c r="G161" s="16"/>
      <c r="H161" s="1"/>
      <c r="I161" s="1"/>
      <c r="J161" s="19"/>
    </row>
    <row r="162" spans="1:10" x14ac:dyDescent="0.25">
      <c r="A162" s="1">
        <f t="shared" si="2"/>
        <v>89</v>
      </c>
      <c r="B162" s="31" t="s">
        <v>271</v>
      </c>
      <c r="C162" s="58" t="s">
        <v>270</v>
      </c>
      <c r="D162" s="53" t="s">
        <v>335</v>
      </c>
      <c r="E162" s="73"/>
      <c r="F162" s="74"/>
      <c r="G162" s="16"/>
      <c r="H162" s="1"/>
      <c r="I162" s="1"/>
      <c r="J162" s="19"/>
    </row>
    <row r="163" spans="1:10" x14ac:dyDescent="0.25">
      <c r="A163" s="1">
        <f t="shared" si="2"/>
        <v>90</v>
      </c>
      <c r="B163" s="31" t="s">
        <v>272</v>
      </c>
      <c r="C163" s="58" t="s">
        <v>273</v>
      </c>
      <c r="D163" s="53" t="s">
        <v>335</v>
      </c>
      <c r="E163" s="73"/>
      <c r="F163" s="74"/>
      <c r="G163" s="16"/>
      <c r="H163" s="1"/>
      <c r="I163" s="1"/>
      <c r="J163" s="19"/>
    </row>
    <row r="164" spans="1:10" x14ac:dyDescent="0.25">
      <c r="A164" s="1">
        <f t="shared" si="2"/>
        <v>91</v>
      </c>
      <c r="B164" s="31" t="s">
        <v>274</v>
      </c>
      <c r="C164" s="58" t="s">
        <v>275</v>
      </c>
      <c r="D164" s="53" t="s">
        <v>335</v>
      </c>
      <c r="E164" s="73"/>
      <c r="F164" s="74"/>
      <c r="G164" s="16"/>
      <c r="H164" s="1"/>
      <c r="I164" s="1"/>
      <c r="J164" s="19"/>
    </row>
    <row r="165" spans="1:10" x14ac:dyDescent="0.25">
      <c r="A165" s="1">
        <f t="shared" si="2"/>
        <v>92</v>
      </c>
      <c r="B165" s="31" t="s">
        <v>276</v>
      </c>
      <c r="C165" s="58" t="s">
        <v>277</v>
      </c>
      <c r="D165" s="53" t="s">
        <v>335</v>
      </c>
      <c r="E165" s="73"/>
      <c r="F165" s="74"/>
      <c r="G165" s="16"/>
      <c r="H165" s="1"/>
      <c r="I165" s="1"/>
      <c r="J165" s="19"/>
    </row>
    <row r="166" spans="1:10" x14ac:dyDescent="0.25">
      <c r="A166" s="1">
        <f t="shared" si="2"/>
        <v>93</v>
      </c>
      <c r="B166" s="31" t="s">
        <v>278</v>
      </c>
      <c r="C166" s="58" t="s">
        <v>279</v>
      </c>
      <c r="D166" s="53" t="s">
        <v>335</v>
      </c>
      <c r="E166" s="73"/>
      <c r="F166" s="74"/>
      <c r="G166" s="16"/>
      <c r="H166" s="1"/>
      <c r="I166" s="1"/>
      <c r="J166" s="19"/>
    </row>
    <row r="167" spans="1:10" x14ac:dyDescent="0.25">
      <c r="A167" s="1">
        <f t="shared" si="2"/>
        <v>94</v>
      </c>
      <c r="B167" s="31" t="s">
        <v>280</v>
      </c>
      <c r="C167" s="58" t="s">
        <v>281</v>
      </c>
      <c r="D167" s="53" t="s">
        <v>335</v>
      </c>
      <c r="E167" s="73"/>
      <c r="F167" s="74"/>
      <c r="G167" s="16"/>
      <c r="H167" s="1"/>
      <c r="I167" s="1"/>
      <c r="J167" s="19"/>
    </row>
    <row r="168" spans="1:10" x14ac:dyDescent="0.25">
      <c r="A168" s="1">
        <f t="shared" si="2"/>
        <v>95</v>
      </c>
      <c r="B168" s="31" t="s">
        <v>282</v>
      </c>
      <c r="C168" s="58" t="s">
        <v>283</v>
      </c>
      <c r="D168" s="53" t="s">
        <v>335</v>
      </c>
      <c r="E168" s="73"/>
      <c r="F168" s="74"/>
      <c r="G168" s="16"/>
      <c r="H168" s="1"/>
      <c r="I168" s="1"/>
      <c r="J168" s="19"/>
    </row>
    <row r="169" spans="1:10" x14ac:dyDescent="0.25">
      <c r="A169" s="1">
        <f t="shared" si="2"/>
        <v>96</v>
      </c>
      <c r="B169" s="31" t="s">
        <v>284</v>
      </c>
      <c r="C169" s="58" t="s">
        <v>285</v>
      </c>
      <c r="D169" s="53" t="s">
        <v>335</v>
      </c>
      <c r="E169" s="73"/>
      <c r="F169" s="74"/>
      <c r="G169" s="16"/>
      <c r="H169" s="1"/>
      <c r="I169" s="1"/>
      <c r="J169" s="19"/>
    </row>
    <row r="170" spans="1:10" x14ac:dyDescent="0.25">
      <c r="A170" s="1">
        <f t="shared" si="2"/>
        <v>97</v>
      </c>
      <c r="B170" s="31" t="s">
        <v>286</v>
      </c>
      <c r="C170" s="58" t="s">
        <v>287</v>
      </c>
      <c r="D170" s="53" t="s">
        <v>335</v>
      </c>
      <c r="E170" s="73"/>
      <c r="F170" s="74"/>
      <c r="G170" s="16"/>
      <c r="H170" s="1"/>
      <c r="I170" s="1"/>
      <c r="J170" s="19"/>
    </row>
    <row r="171" spans="1:10" x14ac:dyDescent="0.25">
      <c r="A171" s="1">
        <f t="shared" si="2"/>
        <v>98</v>
      </c>
      <c r="B171" s="31" t="s">
        <v>288</v>
      </c>
      <c r="C171" s="58" t="s">
        <v>289</v>
      </c>
      <c r="D171" s="53" t="s">
        <v>335</v>
      </c>
      <c r="E171" s="73"/>
      <c r="F171" s="74"/>
      <c r="G171" s="16"/>
      <c r="H171" s="1"/>
      <c r="I171" s="1"/>
      <c r="J171" s="19"/>
    </row>
    <row r="172" spans="1:10" x14ac:dyDescent="0.25">
      <c r="A172" s="1">
        <f t="shared" si="2"/>
        <v>99</v>
      </c>
      <c r="B172" s="31" t="s">
        <v>290</v>
      </c>
      <c r="C172" s="58" t="s">
        <v>291</v>
      </c>
      <c r="D172" s="53" t="s">
        <v>335</v>
      </c>
      <c r="E172" s="73"/>
      <c r="F172" s="74"/>
      <c r="G172" s="16"/>
      <c r="H172" s="1"/>
      <c r="I172" s="1"/>
      <c r="J172" s="19"/>
    </row>
    <row r="173" spans="1:10" x14ac:dyDescent="0.25">
      <c r="A173" s="1">
        <f t="shared" si="2"/>
        <v>100</v>
      </c>
      <c r="B173" s="31" t="s">
        <v>292</v>
      </c>
      <c r="C173" s="58" t="s">
        <v>293</v>
      </c>
      <c r="D173" s="53" t="s">
        <v>335</v>
      </c>
      <c r="E173" s="73"/>
      <c r="F173" s="74"/>
      <c r="G173" s="16"/>
      <c r="H173" s="1"/>
      <c r="I173" s="1"/>
      <c r="J173" s="19"/>
    </row>
    <row r="174" spans="1:10" x14ac:dyDescent="0.25">
      <c r="A174" s="1">
        <f t="shared" si="2"/>
        <v>101</v>
      </c>
      <c r="B174" s="31" t="s">
        <v>294</v>
      </c>
      <c r="C174" s="58" t="s">
        <v>295</v>
      </c>
      <c r="D174" s="53" t="s">
        <v>335</v>
      </c>
      <c r="E174" s="73"/>
      <c r="F174" s="74"/>
      <c r="G174" s="16"/>
      <c r="H174" s="1"/>
      <c r="I174" s="1"/>
      <c r="J174" s="19"/>
    </row>
    <row r="175" spans="1:10" x14ac:dyDescent="0.25">
      <c r="A175" s="1">
        <f t="shared" si="2"/>
        <v>102</v>
      </c>
      <c r="B175" s="31" t="s">
        <v>296</v>
      </c>
      <c r="C175" s="58" t="s">
        <v>297</v>
      </c>
      <c r="D175" s="53" t="s">
        <v>335</v>
      </c>
      <c r="E175" s="73"/>
      <c r="F175" s="74"/>
      <c r="G175" s="16"/>
      <c r="H175" s="1"/>
      <c r="I175" s="1"/>
      <c r="J175" s="19"/>
    </row>
    <row r="176" spans="1:10" x14ac:dyDescent="0.25">
      <c r="A176" s="1">
        <f t="shared" si="2"/>
        <v>103</v>
      </c>
      <c r="B176" s="31" t="s">
        <v>298</v>
      </c>
      <c r="C176" s="58" t="s">
        <v>299</v>
      </c>
      <c r="D176" s="53" t="s">
        <v>335</v>
      </c>
      <c r="E176" s="73"/>
      <c r="F176" s="74"/>
      <c r="G176" s="16"/>
      <c r="H176" s="1"/>
      <c r="I176" s="1"/>
      <c r="J176" s="19"/>
    </row>
    <row r="177" spans="1:10" x14ac:dyDescent="0.25">
      <c r="A177" s="1">
        <f t="shared" si="2"/>
        <v>104</v>
      </c>
      <c r="B177" s="31" t="s">
        <v>300</v>
      </c>
      <c r="C177" s="58" t="s">
        <v>301</v>
      </c>
      <c r="D177" s="53" t="s">
        <v>335</v>
      </c>
      <c r="E177" s="73"/>
      <c r="F177" s="74"/>
      <c r="G177" s="16"/>
      <c r="H177" s="1"/>
      <c r="I177" s="1"/>
      <c r="J177" s="19"/>
    </row>
    <row r="178" spans="1:10" x14ac:dyDescent="0.25">
      <c r="A178" s="1">
        <f t="shared" si="2"/>
        <v>105</v>
      </c>
      <c r="B178" s="31" t="s">
        <v>302</v>
      </c>
      <c r="C178" s="58" t="s">
        <v>303</v>
      </c>
      <c r="D178" s="53" t="s">
        <v>335</v>
      </c>
      <c r="E178" s="73"/>
      <c r="F178" s="74"/>
      <c r="G178" s="16"/>
      <c r="H178" s="1"/>
      <c r="I178" s="1"/>
      <c r="J178" s="19"/>
    </row>
    <row r="179" spans="1:10" x14ac:dyDescent="0.25">
      <c r="A179" s="1">
        <f t="shared" si="2"/>
        <v>106</v>
      </c>
      <c r="B179" s="31" t="s">
        <v>304</v>
      </c>
      <c r="C179" s="58" t="s">
        <v>305</v>
      </c>
      <c r="D179" s="53" t="s">
        <v>335</v>
      </c>
      <c r="E179" s="73"/>
      <c r="F179" s="74"/>
      <c r="G179" s="16"/>
      <c r="H179" s="1"/>
      <c r="I179" s="1"/>
      <c r="J179" s="19"/>
    </row>
    <row r="180" spans="1:10" x14ac:dyDescent="0.25">
      <c r="A180" s="1">
        <f t="shared" si="2"/>
        <v>107</v>
      </c>
      <c r="B180" s="31" t="s">
        <v>306</v>
      </c>
      <c r="C180" s="58" t="s">
        <v>307</v>
      </c>
      <c r="D180" s="53" t="s">
        <v>335</v>
      </c>
      <c r="E180" s="73"/>
      <c r="F180" s="74"/>
      <c r="G180" s="16"/>
      <c r="H180" s="1"/>
      <c r="I180" s="1"/>
      <c r="J180" s="19"/>
    </row>
    <row r="181" spans="1:10" x14ac:dyDescent="0.25">
      <c r="A181" s="1">
        <f t="shared" si="2"/>
        <v>108</v>
      </c>
      <c r="B181" s="31" t="s">
        <v>308</v>
      </c>
      <c r="C181" s="58" t="s">
        <v>309</v>
      </c>
      <c r="D181" s="53" t="s">
        <v>335</v>
      </c>
      <c r="E181" s="73"/>
      <c r="F181" s="74"/>
      <c r="G181" s="16"/>
      <c r="H181" s="1"/>
      <c r="I181" s="1"/>
      <c r="J181" s="19"/>
    </row>
    <row r="182" spans="1:10" x14ac:dyDescent="0.25">
      <c r="A182" s="1">
        <f t="shared" si="2"/>
        <v>109</v>
      </c>
      <c r="B182" s="31" t="s">
        <v>310</v>
      </c>
      <c r="C182" s="58" t="s">
        <v>311</v>
      </c>
      <c r="D182" s="53" t="s">
        <v>334</v>
      </c>
      <c r="E182" s="73"/>
      <c r="F182" s="74"/>
      <c r="G182" s="16"/>
      <c r="H182" s="1"/>
      <c r="I182" s="1"/>
      <c r="J182" s="19"/>
    </row>
    <row r="183" spans="1:10" x14ac:dyDescent="0.25">
      <c r="A183" s="1">
        <f t="shared" si="2"/>
        <v>110</v>
      </c>
      <c r="B183" s="31" t="s">
        <v>312</v>
      </c>
      <c r="C183" s="58" t="s">
        <v>313</v>
      </c>
      <c r="D183" s="53" t="s">
        <v>335</v>
      </c>
      <c r="E183" s="73"/>
      <c r="F183" s="74"/>
      <c r="G183" s="16"/>
      <c r="H183" s="1"/>
      <c r="I183" s="1"/>
      <c r="J183" s="19"/>
    </row>
    <row r="184" spans="1:10" x14ac:dyDescent="0.25">
      <c r="A184" s="1">
        <f t="shared" si="2"/>
        <v>111</v>
      </c>
      <c r="B184" s="31" t="s">
        <v>314</v>
      </c>
      <c r="C184" s="58" t="s">
        <v>315</v>
      </c>
      <c r="D184" s="53" t="s">
        <v>335</v>
      </c>
      <c r="E184" s="73"/>
      <c r="F184" s="74"/>
      <c r="G184" s="16"/>
      <c r="H184" s="1"/>
      <c r="I184" s="1"/>
      <c r="J184" s="19"/>
    </row>
    <row r="185" spans="1:10" x14ac:dyDescent="0.25">
      <c r="A185" s="1">
        <f t="shared" si="2"/>
        <v>112</v>
      </c>
      <c r="B185" s="31" t="s">
        <v>316</v>
      </c>
      <c r="C185" s="58" t="s">
        <v>317</v>
      </c>
      <c r="D185" s="53" t="s">
        <v>335</v>
      </c>
      <c r="E185" s="73"/>
      <c r="F185" s="74"/>
      <c r="G185" s="16"/>
      <c r="H185" s="1"/>
      <c r="I185" s="1"/>
      <c r="J185" s="19"/>
    </row>
    <row r="186" spans="1:10" x14ac:dyDescent="0.25">
      <c r="A186" s="1">
        <f t="shared" si="2"/>
        <v>113</v>
      </c>
      <c r="B186" s="31" t="s">
        <v>318</v>
      </c>
      <c r="C186" s="58" t="s">
        <v>319</v>
      </c>
      <c r="D186" s="53" t="s">
        <v>335</v>
      </c>
      <c r="E186" s="73"/>
      <c r="F186" s="74"/>
      <c r="G186" s="16"/>
      <c r="H186" s="1"/>
      <c r="I186" s="1"/>
      <c r="J186" s="19"/>
    </row>
    <row r="187" spans="1:10" x14ac:dyDescent="0.25">
      <c r="A187" s="1">
        <f t="shared" si="2"/>
        <v>114</v>
      </c>
      <c r="B187" s="31" t="s">
        <v>320</v>
      </c>
      <c r="C187" s="58" t="s">
        <v>321</v>
      </c>
      <c r="D187" s="53" t="s">
        <v>335</v>
      </c>
      <c r="E187" s="73"/>
      <c r="F187" s="74"/>
      <c r="G187" s="16"/>
      <c r="H187" s="1"/>
      <c r="I187" s="1"/>
      <c r="J187" s="19"/>
    </row>
    <row r="188" spans="1:10" x14ac:dyDescent="0.25">
      <c r="A188" s="1">
        <f t="shared" si="2"/>
        <v>115</v>
      </c>
      <c r="B188" s="31" t="s">
        <v>322</v>
      </c>
      <c r="C188" s="58" t="s">
        <v>323</v>
      </c>
      <c r="D188" s="53" t="s">
        <v>335</v>
      </c>
      <c r="E188" s="73"/>
      <c r="F188" s="74"/>
      <c r="G188" s="16"/>
      <c r="H188" s="1"/>
      <c r="I188" s="1"/>
      <c r="J188" s="19"/>
    </row>
    <row r="189" spans="1:10" x14ac:dyDescent="0.25">
      <c r="A189" s="1">
        <f t="shared" si="2"/>
        <v>116</v>
      </c>
      <c r="B189" s="31" t="s">
        <v>324</v>
      </c>
      <c r="C189" s="58" t="s">
        <v>325</v>
      </c>
      <c r="D189" s="53" t="s">
        <v>335</v>
      </c>
      <c r="E189" s="73"/>
      <c r="F189" s="74"/>
      <c r="G189" s="16"/>
      <c r="H189" s="1"/>
      <c r="I189" s="1"/>
      <c r="J189" s="19"/>
    </row>
    <row r="190" spans="1:10" x14ac:dyDescent="0.25">
      <c r="A190" s="1">
        <f t="shared" si="2"/>
        <v>117</v>
      </c>
      <c r="B190" s="31" t="s">
        <v>326</v>
      </c>
      <c r="C190" s="58" t="s">
        <v>327</v>
      </c>
      <c r="D190" s="53" t="s">
        <v>335</v>
      </c>
      <c r="E190" s="73"/>
      <c r="F190" s="74"/>
      <c r="G190" s="16"/>
      <c r="H190" s="1"/>
      <c r="I190" s="1"/>
      <c r="J190" s="19"/>
    </row>
    <row r="191" spans="1:10" x14ac:dyDescent="0.25">
      <c r="A191" s="1">
        <f t="shared" si="2"/>
        <v>118</v>
      </c>
      <c r="B191" s="31" t="s">
        <v>328</v>
      </c>
      <c r="C191" s="58" t="s">
        <v>329</v>
      </c>
      <c r="D191" s="53" t="s">
        <v>335</v>
      </c>
      <c r="E191" s="73"/>
      <c r="F191" s="74"/>
      <c r="G191" s="16"/>
      <c r="H191" s="1"/>
      <c r="I191" s="1"/>
      <c r="J191" s="19"/>
    </row>
    <row r="192" spans="1:10" x14ac:dyDescent="0.25">
      <c r="A192" s="1">
        <f t="shared" si="2"/>
        <v>119</v>
      </c>
      <c r="B192" s="31" t="s">
        <v>330</v>
      </c>
      <c r="C192" s="58" t="s">
        <v>331</v>
      </c>
      <c r="D192" s="53" t="s">
        <v>335</v>
      </c>
      <c r="E192" s="73"/>
      <c r="F192" s="74"/>
      <c r="G192" s="16"/>
      <c r="H192" s="1"/>
      <c r="I192" s="1"/>
      <c r="J192" s="19"/>
    </row>
    <row r="193" spans="1:10" x14ac:dyDescent="0.25">
      <c r="A193" s="1">
        <f t="shared" si="2"/>
        <v>120</v>
      </c>
      <c r="B193" s="31" t="s">
        <v>332</v>
      </c>
      <c r="C193" s="58" t="s">
        <v>333</v>
      </c>
      <c r="D193" s="53" t="s">
        <v>335</v>
      </c>
      <c r="E193" s="73"/>
      <c r="F193" s="74"/>
      <c r="G193" s="16"/>
      <c r="H193" s="1"/>
      <c r="I193" s="1"/>
      <c r="J193" s="19"/>
    </row>
    <row r="194" spans="1:10" x14ac:dyDescent="0.25">
      <c r="A194" s="1">
        <f t="shared" si="2"/>
        <v>121</v>
      </c>
      <c r="B194" s="31"/>
      <c r="C194" s="58"/>
      <c r="D194" s="53"/>
      <c r="E194" s="73"/>
      <c r="F194" s="74"/>
      <c r="G194" s="16"/>
      <c r="H194" s="1"/>
      <c r="I194" s="1"/>
      <c r="J194" s="19"/>
    </row>
    <row r="195" spans="1:10" x14ac:dyDescent="0.25">
      <c r="A195" s="1">
        <f t="shared" si="2"/>
        <v>122</v>
      </c>
      <c r="B195" s="31"/>
      <c r="C195" s="58"/>
      <c r="D195" s="53"/>
      <c r="E195" s="73"/>
      <c r="F195" s="74"/>
      <c r="G195" s="16"/>
      <c r="H195" s="1"/>
      <c r="I195" s="1"/>
      <c r="J195" s="19"/>
    </row>
    <row r="196" spans="1:10" x14ac:dyDescent="0.25">
      <c r="A196" s="1">
        <f t="shared" si="2"/>
        <v>123</v>
      </c>
      <c r="B196" s="31"/>
      <c r="C196" s="58"/>
      <c r="D196" s="53"/>
      <c r="E196" s="73"/>
      <c r="F196" s="74"/>
      <c r="G196" s="16"/>
      <c r="H196" s="1"/>
      <c r="I196" s="1"/>
      <c r="J196" s="19"/>
    </row>
    <row r="197" spans="1:10" x14ac:dyDescent="0.25">
      <c r="A197" s="1">
        <f t="shared" si="2"/>
        <v>124</v>
      </c>
      <c r="B197" s="31"/>
      <c r="C197" s="58"/>
      <c r="D197" s="53"/>
      <c r="E197" s="73"/>
      <c r="F197" s="74"/>
      <c r="G197" s="16"/>
      <c r="H197" s="1"/>
      <c r="I197" s="1"/>
      <c r="J197" s="19"/>
    </row>
    <row r="198" spans="1:10" x14ac:dyDescent="0.25">
      <c r="A198" s="1">
        <f t="shared" si="2"/>
        <v>125</v>
      </c>
      <c r="B198" s="31"/>
      <c r="C198" s="58"/>
      <c r="D198" s="52"/>
      <c r="E198" s="79"/>
      <c r="F198" s="74"/>
      <c r="G198" s="16"/>
      <c r="H198" s="1"/>
      <c r="I198" s="1"/>
      <c r="J198" s="19"/>
    </row>
    <row r="199" spans="1:10" x14ac:dyDescent="0.25">
      <c r="A199" s="1">
        <f t="shared" si="2"/>
        <v>126</v>
      </c>
      <c r="B199" s="31"/>
      <c r="C199" s="58"/>
      <c r="D199" s="52"/>
      <c r="E199" s="79"/>
      <c r="F199" s="74"/>
      <c r="G199" s="16"/>
      <c r="H199" s="1"/>
      <c r="I199" s="1"/>
      <c r="J199" s="19"/>
    </row>
    <row r="200" spans="1:10" x14ac:dyDescent="0.25">
      <c r="A200" s="1">
        <f t="shared" si="2"/>
        <v>127</v>
      </c>
      <c r="B200" s="31"/>
      <c r="C200" s="58"/>
      <c r="D200" s="52"/>
      <c r="E200" s="79"/>
      <c r="F200" s="74"/>
      <c r="G200" s="16"/>
      <c r="H200" s="1"/>
      <c r="I200" s="1"/>
      <c r="J200" s="19"/>
    </row>
    <row r="201" spans="1:10" x14ac:dyDescent="0.25">
      <c r="A201" s="1">
        <f t="shared" si="2"/>
        <v>128</v>
      </c>
      <c r="B201" s="31"/>
      <c r="C201" s="58"/>
      <c r="D201" s="15"/>
      <c r="E201" s="80"/>
      <c r="F201" s="81"/>
      <c r="G201" s="16"/>
      <c r="H201" s="1"/>
      <c r="I201" s="1"/>
      <c r="J201" s="19"/>
    </row>
    <row r="202" spans="1:10" x14ac:dyDescent="0.25">
      <c r="A202" s="1">
        <f t="shared" si="2"/>
        <v>129</v>
      </c>
      <c r="B202" s="31"/>
      <c r="C202" s="58"/>
      <c r="D202" s="15"/>
      <c r="E202" s="80"/>
      <c r="F202" s="81"/>
      <c r="G202" s="16"/>
      <c r="H202" s="1"/>
      <c r="I202" s="1"/>
      <c r="J202" s="19"/>
    </row>
    <row r="203" spans="1:10" x14ac:dyDescent="0.25">
      <c r="A203" s="1">
        <f>A202+1</f>
        <v>130</v>
      </c>
      <c r="B203" s="31"/>
      <c r="C203" s="58"/>
      <c r="D203" s="15"/>
      <c r="E203" s="80"/>
      <c r="F203" s="81"/>
      <c r="G203" s="16"/>
      <c r="H203" s="1"/>
      <c r="I203" s="1"/>
      <c r="J203" s="19"/>
    </row>
    <row r="204" spans="1:10" x14ac:dyDescent="0.25">
      <c r="A204" s="1">
        <f>A70+1</f>
        <v>69</v>
      </c>
      <c r="B204" s="59"/>
      <c r="C204" s="60"/>
      <c r="D204" s="15"/>
      <c r="E204" s="80"/>
      <c r="F204" s="81"/>
      <c r="G204" s="16"/>
      <c r="H204" s="1"/>
      <c r="I204" s="1"/>
      <c r="J204" s="19"/>
    </row>
    <row r="205" spans="1:10" ht="15.75" thickBot="1" x14ac:dyDescent="0.3">
      <c r="A205" s="1">
        <f>A203+1</f>
        <v>131</v>
      </c>
      <c r="B205" s="31"/>
      <c r="C205" s="58"/>
      <c r="D205" s="15"/>
      <c r="E205" s="80"/>
      <c r="F205" s="82"/>
      <c r="G205" s="20"/>
      <c r="H205" s="21"/>
      <c r="I205" s="21"/>
      <c r="J205" s="22"/>
    </row>
  </sheetData>
  <mergeCells count="1">
    <mergeCell ref="A1:C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207"/>
  <sheetViews>
    <sheetView topLeftCell="A95" zoomScale="90" zoomScaleNormal="90" workbookViewId="0">
      <selection activeCell="K103" sqref="K103"/>
    </sheetView>
  </sheetViews>
  <sheetFormatPr baseColWidth="10" defaultRowHeight="15" x14ac:dyDescent="0.25"/>
  <cols>
    <col min="1" max="1" width="4.140625" customWidth="1"/>
    <col min="2" max="2" width="41.85546875" customWidth="1"/>
    <col min="3" max="3" width="12.140625" customWidth="1"/>
    <col min="7" max="7" width="6.7109375" customWidth="1"/>
    <col min="8" max="10" width="11.85546875" customWidth="1"/>
    <col min="12" max="12" width="8.5703125" customWidth="1"/>
  </cols>
  <sheetData>
    <row r="1" spans="1:13" x14ac:dyDescent="0.25">
      <c r="A1" s="378" t="s">
        <v>8</v>
      </c>
      <c r="B1" s="378"/>
      <c r="C1" s="378"/>
      <c r="D1" s="132"/>
      <c r="E1" s="131"/>
      <c r="F1" s="131" t="s">
        <v>95</v>
      </c>
      <c r="G1" s="131"/>
      <c r="H1" s="131"/>
      <c r="I1" s="131"/>
      <c r="J1" s="133"/>
    </row>
    <row r="2" spans="1:13" x14ac:dyDescent="0.25">
      <c r="A2" s="91" t="s">
        <v>3</v>
      </c>
      <c r="B2" s="128" t="s">
        <v>0</v>
      </c>
      <c r="C2" s="128" t="s">
        <v>1</v>
      </c>
      <c r="D2" s="129" t="s">
        <v>2</v>
      </c>
      <c r="E2" s="129" t="s">
        <v>336</v>
      </c>
      <c r="F2" s="129" t="s">
        <v>337</v>
      </c>
      <c r="G2" s="128" t="s">
        <v>10</v>
      </c>
      <c r="H2" s="129" t="s">
        <v>356</v>
      </c>
      <c r="I2" s="129" t="s">
        <v>357</v>
      </c>
      <c r="J2" s="128" t="s">
        <v>11</v>
      </c>
      <c r="K2" s="129" t="s">
        <v>12</v>
      </c>
      <c r="L2" s="129" t="s">
        <v>355</v>
      </c>
      <c r="M2" s="130" t="s">
        <v>13</v>
      </c>
    </row>
    <row r="3" spans="1:13" x14ac:dyDescent="0.25">
      <c r="A3" s="9">
        <v>1</v>
      </c>
      <c r="B3" s="119" t="s">
        <v>14</v>
      </c>
      <c r="C3" s="120" t="s">
        <v>100</v>
      </c>
      <c r="D3" s="121" t="s">
        <v>5</v>
      </c>
      <c r="E3" s="122">
        <v>1574</v>
      </c>
      <c r="F3" s="123">
        <v>1579</v>
      </c>
      <c r="G3" s="125">
        <v>5</v>
      </c>
      <c r="H3" s="124">
        <v>3600</v>
      </c>
      <c r="I3" s="124">
        <v>16950</v>
      </c>
      <c r="J3" s="126">
        <v>20550</v>
      </c>
      <c r="K3" s="126">
        <v>20550</v>
      </c>
      <c r="L3" s="127" t="s">
        <v>358</v>
      </c>
      <c r="M3" s="126">
        <v>0</v>
      </c>
    </row>
    <row r="4" spans="1:13" x14ac:dyDescent="0.25">
      <c r="A4" s="1">
        <f>A3+1</f>
        <v>2</v>
      </c>
      <c r="B4" s="1" t="s">
        <v>15</v>
      </c>
      <c r="C4" s="4"/>
      <c r="D4" s="70" t="s">
        <v>5</v>
      </c>
      <c r="E4" s="95">
        <v>1</v>
      </c>
      <c r="F4" s="96">
        <v>1</v>
      </c>
      <c r="G4" s="87">
        <v>0</v>
      </c>
      <c r="H4" s="94">
        <v>0</v>
      </c>
      <c r="I4" s="103">
        <v>3000</v>
      </c>
      <c r="J4" s="107">
        <v>3000</v>
      </c>
      <c r="K4" s="107">
        <v>3000</v>
      </c>
      <c r="L4" s="85" t="s">
        <v>358</v>
      </c>
      <c r="M4" s="110">
        <v>0</v>
      </c>
    </row>
    <row r="5" spans="1:13" x14ac:dyDescent="0.25">
      <c r="A5" s="1">
        <f t="shared" ref="A5:A33" si="0">A4+1</f>
        <v>3</v>
      </c>
      <c r="B5" s="1" t="s">
        <v>16</v>
      </c>
      <c r="C5" s="4" t="s">
        <v>101</v>
      </c>
      <c r="D5" s="70" t="s">
        <v>5</v>
      </c>
      <c r="E5" s="95">
        <v>2201</v>
      </c>
      <c r="F5" s="96">
        <v>2226</v>
      </c>
      <c r="G5" s="87">
        <v>25</v>
      </c>
      <c r="H5" s="94">
        <v>10950</v>
      </c>
      <c r="I5" s="103">
        <v>13750</v>
      </c>
      <c r="J5" s="107">
        <v>24700</v>
      </c>
      <c r="K5" s="107">
        <v>24700</v>
      </c>
      <c r="L5" s="85" t="s">
        <v>359</v>
      </c>
      <c r="M5" s="110">
        <v>0</v>
      </c>
    </row>
    <row r="6" spans="1:13" x14ac:dyDescent="0.25">
      <c r="A6" s="1">
        <f t="shared" si="0"/>
        <v>4</v>
      </c>
      <c r="B6" s="1" t="s">
        <v>17</v>
      </c>
      <c r="C6" s="4"/>
      <c r="D6" s="70" t="s">
        <v>5</v>
      </c>
      <c r="E6" s="95">
        <v>2615</v>
      </c>
      <c r="F6" s="96">
        <v>2630</v>
      </c>
      <c r="G6" s="87">
        <v>15</v>
      </c>
      <c r="H6" s="94">
        <v>11400</v>
      </c>
      <c r="I6" s="103">
        <v>13500</v>
      </c>
      <c r="J6" s="107">
        <v>24900</v>
      </c>
      <c r="K6" s="91"/>
      <c r="L6" s="85"/>
      <c r="M6" s="110">
        <v>24900</v>
      </c>
    </row>
    <row r="7" spans="1:13" x14ac:dyDescent="0.25">
      <c r="A7" s="1">
        <f t="shared" si="0"/>
        <v>5</v>
      </c>
      <c r="B7" s="1" t="s">
        <v>18</v>
      </c>
      <c r="C7" s="4"/>
      <c r="D7" s="70" t="s">
        <v>5</v>
      </c>
      <c r="E7" s="95">
        <v>1900</v>
      </c>
      <c r="F7" s="96">
        <v>2022</v>
      </c>
      <c r="G7" s="87">
        <v>22</v>
      </c>
      <c r="H7" s="94">
        <v>0</v>
      </c>
      <c r="I7" s="103">
        <v>18400</v>
      </c>
      <c r="J7" s="107">
        <v>18400</v>
      </c>
      <c r="K7" s="107">
        <v>18400</v>
      </c>
      <c r="L7" s="85" t="s">
        <v>358</v>
      </c>
      <c r="M7" s="110">
        <v>0</v>
      </c>
    </row>
    <row r="8" spans="1:13" x14ac:dyDescent="0.25">
      <c r="A8" s="1">
        <f t="shared" si="0"/>
        <v>6</v>
      </c>
      <c r="B8" s="1" t="s">
        <v>19</v>
      </c>
      <c r="C8" s="4"/>
      <c r="D8" s="70" t="s">
        <v>5</v>
      </c>
      <c r="E8" s="95">
        <v>357</v>
      </c>
      <c r="F8" s="96">
        <v>358</v>
      </c>
      <c r="G8" s="87">
        <v>1</v>
      </c>
      <c r="H8" s="94">
        <v>22400</v>
      </c>
      <c r="I8" s="103">
        <v>3700</v>
      </c>
      <c r="J8" s="107">
        <v>26100</v>
      </c>
      <c r="K8" s="107">
        <v>26100</v>
      </c>
      <c r="L8" s="85" t="s">
        <v>358</v>
      </c>
      <c r="M8" s="110">
        <v>0</v>
      </c>
    </row>
    <row r="9" spans="1:13" x14ac:dyDescent="0.25">
      <c r="A9" s="1">
        <f t="shared" si="0"/>
        <v>7</v>
      </c>
      <c r="B9" s="1" t="s">
        <v>20</v>
      </c>
      <c r="C9" s="4"/>
      <c r="D9" s="70" t="s">
        <v>5</v>
      </c>
      <c r="E9" s="95">
        <v>5649</v>
      </c>
      <c r="F9" s="96">
        <v>5680</v>
      </c>
      <c r="G9" s="87">
        <v>31</v>
      </c>
      <c r="H9" s="94">
        <v>0</v>
      </c>
      <c r="I9" s="103">
        <v>24700</v>
      </c>
      <c r="J9" s="107">
        <v>24700</v>
      </c>
      <c r="K9" s="107">
        <v>24700</v>
      </c>
      <c r="L9" s="85" t="s">
        <v>358</v>
      </c>
      <c r="M9" s="110">
        <v>0</v>
      </c>
    </row>
    <row r="10" spans="1:13" x14ac:dyDescent="0.25">
      <c r="A10" s="1">
        <f t="shared" si="0"/>
        <v>8</v>
      </c>
      <c r="B10" s="1" t="s">
        <v>21</v>
      </c>
      <c r="C10" s="4"/>
      <c r="D10" s="70" t="s">
        <v>5</v>
      </c>
      <c r="E10" s="95">
        <v>1690</v>
      </c>
      <c r="F10" s="96">
        <v>1715</v>
      </c>
      <c r="G10" s="87">
        <v>25</v>
      </c>
      <c r="H10" s="94">
        <v>0</v>
      </c>
      <c r="I10" s="103">
        <v>20500</v>
      </c>
      <c r="J10" s="107">
        <v>20500</v>
      </c>
      <c r="K10" s="91"/>
      <c r="L10" s="85"/>
      <c r="M10" s="110">
        <v>20500</v>
      </c>
    </row>
    <row r="11" spans="1:13" x14ac:dyDescent="0.25">
      <c r="A11" s="1">
        <f t="shared" si="0"/>
        <v>9</v>
      </c>
      <c r="B11" s="1" t="s">
        <v>22</v>
      </c>
      <c r="C11" s="4"/>
      <c r="D11" s="70" t="s">
        <v>5</v>
      </c>
      <c r="E11" s="95">
        <v>438</v>
      </c>
      <c r="F11" s="96">
        <v>447</v>
      </c>
      <c r="G11" s="87">
        <v>9</v>
      </c>
      <c r="H11" s="94">
        <v>7900</v>
      </c>
      <c r="I11" s="103">
        <v>9300</v>
      </c>
      <c r="J11" s="107">
        <v>17200</v>
      </c>
      <c r="K11" s="107">
        <v>17200</v>
      </c>
      <c r="L11" s="85" t="s">
        <v>358</v>
      </c>
      <c r="M11" s="110">
        <v>0</v>
      </c>
    </row>
    <row r="12" spans="1:13" x14ac:dyDescent="0.25">
      <c r="A12" s="1">
        <f t="shared" si="0"/>
        <v>10</v>
      </c>
      <c r="B12" s="1" t="s">
        <v>352</v>
      </c>
      <c r="C12" s="4"/>
      <c r="D12" s="70" t="s">
        <v>5</v>
      </c>
      <c r="E12" s="95">
        <v>9249</v>
      </c>
      <c r="F12" s="96">
        <v>9356</v>
      </c>
      <c r="G12" s="87">
        <v>107</v>
      </c>
      <c r="H12" s="93"/>
      <c r="I12" s="92"/>
      <c r="J12" s="107">
        <v>207800</v>
      </c>
      <c r="K12" s="91"/>
      <c r="L12" s="85"/>
      <c r="M12" s="110"/>
    </row>
    <row r="13" spans="1:13" x14ac:dyDescent="0.25">
      <c r="A13" s="1">
        <f t="shared" si="0"/>
        <v>11</v>
      </c>
      <c r="B13" s="1" t="s">
        <v>24</v>
      </c>
      <c r="C13" s="4"/>
      <c r="D13" s="70" t="s">
        <v>5</v>
      </c>
      <c r="E13" s="95">
        <v>3282</v>
      </c>
      <c r="F13" s="96">
        <v>3291</v>
      </c>
      <c r="G13" s="87">
        <v>9</v>
      </c>
      <c r="H13" s="94">
        <v>0</v>
      </c>
      <c r="I13" s="103">
        <v>9300</v>
      </c>
      <c r="J13" s="107">
        <v>9300</v>
      </c>
      <c r="K13" s="91"/>
      <c r="L13" s="85"/>
      <c r="M13" s="110">
        <v>9300</v>
      </c>
    </row>
    <row r="14" spans="1:13" x14ac:dyDescent="0.25">
      <c r="A14" s="1">
        <f t="shared" si="0"/>
        <v>12</v>
      </c>
      <c r="B14" s="1" t="s">
        <v>25</v>
      </c>
      <c r="C14" s="4"/>
      <c r="D14" s="70" t="s">
        <v>5</v>
      </c>
      <c r="E14" s="95">
        <v>1016</v>
      </c>
      <c r="F14" s="96">
        <v>1035</v>
      </c>
      <c r="G14" s="87">
        <v>19</v>
      </c>
      <c r="H14" s="94">
        <v>0</v>
      </c>
      <c r="I14" s="103">
        <v>16300</v>
      </c>
      <c r="J14" s="107">
        <v>16300</v>
      </c>
      <c r="K14" s="107">
        <v>16300</v>
      </c>
      <c r="L14" s="85" t="s">
        <v>358</v>
      </c>
      <c r="M14" s="110">
        <v>0</v>
      </c>
    </row>
    <row r="15" spans="1:13" x14ac:dyDescent="0.25">
      <c r="A15" s="1">
        <f t="shared" si="0"/>
        <v>13</v>
      </c>
      <c r="B15" s="1" t="s">
        <v>26</v>
      </c>
      <c r="C15" s="4"/>
      <c r="D15" s="70" t="s">
        <v>5</v>
      </c>
      <c r="E15" s="95">
        <v>2319</v>
      </c>
      <c r="F15" s="96">
        <v>2324</v>
      </c>
      <c r="G15" s="87">
        <v>5</v>
      </c>
      <c r="H15" s="94">
        <v>5800</v>
      </c>
      <c r="I15" s="103">
        <v>6500</v>
      </c>
      <c r="J15" s="107">
        <v>12300</v>
      </c>
      <c r="K15" s="107">
        <v>12300</v>
      </c>
      <c r="L15" s="85" t="s">
        <v>359</v>
      </c>
      <c r="M15" s="110">
        <v>0</v>
      </c>
    </row>
    <row r="16" spans="1:13" x14ac:dyDescent="0.25">
      <c r="A16" s="1">
        <f t="shared" si="0"/>
        <v>14</v>
      </c>
      <c r="B16" s="1" t="s">
        <v>364</v>
      </c>
      <c r="C16" s="4"/>
      <c r="D16" s="70" t="s">
        <v>5</v>
      </c>
      <c r="E16" s="95">
        <v>2010</v>
      </c>
      <c r="F16" s="96">
        <v>2015</v>
      </c>
      <c r="G16" s="87">
        <v>5</v>
      </c>
      <c r="H16" s="94"/>
      <c r="I16" s="103"/>
      <c r="J16" s="107">
        <v>31400</v>
      </c>
      <c r="K16" s="91"/>
      <c r="L16" s="85"/>
      <c r="M16" s="110"/>
    </row>
    <row r="17" spans="1:13" x14ac:dyDescent="0.25">
      <c r="A17" s="1">
        <f t="shared" si="0"/>
        <v>15</v>
      </c>
      <c r="B17" s="31" t="s">
        <v>367</v>
      </c>
      <c r="C17" s="4"/>
      <c r="D17" s="70" t="s">
        <v>5</v>
      </c>
      <c r="E17" s="95">
        <v>2250</v>
      </c>
      <c r="F17" s="96">
        <v>2252</v>
      </c>
      <c r="G17" s="87">
        <v>2</v>
      </c>
      <c r="H17" s="94">
        <v>9000</v>
      </c>
      <c r="I17" s="103">
        <v>4400</v>
      </c>
      <c r="J17" s="107">
        <v>13400</v>
      </c>
      <c r="K17" s="91"/>
      <c r="L17" s="85"/>
      <c r="M17" s="110">
        <v>13400</v>
      </c>
    </row>
    <row r="18" spans="1:13" x14ac:dyDescent="0.25">
      <c r="A18" s="1">
        <f t="shared" si="0"/>
        <v>16</v>
      </c>
      <c r="B18" s="1" t="s">
        <v>29</v>
      </c>
      <c r="C18" s="4"/>
      <c r="D18" s="70" t="s">
        <v>7</v>
      </c>
      <c r="E18" s="95">
        <v>1097</v>
      </c>
      <c r="F18" s="96">
        <v>1097</v>
      </c>
      <c r="G18" s="87">
        <v>0</v>
      </c>
      <c r="H18" s="94">
        <v>3000</v>
      </c>
      <c r="I18" s="103">
        <v>3000</v>
      </c>
      <c r="J18" s="107">
        <v>6000</v>
      </c>
      <c r="K18" s="91"/>
      <c r="L18" s="85"/>
      <c r="M18" s="110">
        <v>6000</v>
      </c>
    </row>
    <row r="19" spans="1:13" x14ac:dyDescent="0.25">
      <c r="A19" s="1">
        <f t="shared" si="0"/>
        <v>17</v>
      </c>
      <c r="B19" s="1" t="s">
        <v>30</v>
      </c>
      <c r="C19" s="4"/>
      <c r="D19" s="70" t="s">
        <v>5</v>
      </c>
      <c r="E19" s="95">
        <v>864</v>
      </c>
      <c r="F19" s="96">
        <v>864</v>
      </c>
      <c r="G19" s="87">
        <v>0</v>
      </c>
      <c r="H19" s="94">
        <v>12500</v>
      </c>
      <c r="I19" s="103">
        <v>3000</v>
      </c>
      <c r="J19" s="107">
        <v>15500</v>
      </c>
      <c r="K19" s="107">
        <v>15500</v>
      </c>
      <c r="L19" s="85" t="s">
        <v>358</v>
      </c>
      <c r="M19" s="110">
        <v>0</v>
      </c>
    </row>
    <row r="20" spans="1:13" x14ac:dyDescent="0.25">
      <c r="A20" s="1">
        <f t="shared" si="0"/>
        <v>18</v>
      </c>
      <c r="B20" s="1" t="s">
        <v>338</v>
      </c>
      <c r="C20" s="4" t="s">
        <v>339</v>
      </c>
      <c r="D20" s="70" t="s">
        <v>5</v>
      </c>
      <c r="E20" s="95">
        <v>1414</v>
      </c>
      <c r="F20" s="96">
        <v>1430</v>
      </c>
      <c r="G20" s="87">
        <v>16</v>
      </c>
      <c r="H20" s="94">
        <v>111600</v>
      </c>
      <c r="I20" s="103">
        <v>14200</v>
      </c>
      <c r="J20" s="107">
        <v>125800</v>
      </c>
      <c r="K20" s="107">
        <v>30000</v>
      </c>
      <c r="L20" s="84" t="s">
        <v>358</v>
      </c>
      <c r="M20" s="110">
        <v>95800</v>
      </c>
    </row>
    <row r="21" spans="1:13" x14ac:dyDescent="0.25">
      <c r="A21" s="1">
        <f t="shared" si="0"/>
        <v>19</v>
      </c>
      <c r="B21" s="1" t="s">
        <v>32</v>
      </c>
      <c r="C21" s="4"/>
      <c r="D21" s="70" t="s">
        <v>5</v>
      </c>
      <c r="E21" s="95">
        <v>3</v>
      </c>
      <c r="F21" s="96">
        <v>3</v>
      </c>
      <c r="G21" s="87">
        <v>0</v>
      </c>
      <c r="H21" s="94">
        <v>12000</v>
      </c>
      <c r="I21" s="103">
        <v>3000</v>
      </c>
      <c r="J21" s="107">
        <v>15000</v>
      </c>
      <c r="K21" s="91"/>
      <c r="L21" s="85"/>
      <c r="M21" s="110">
        <v>15000</v>
      </c>
    </row>
    <row r="22" spans="1:13" x14ac:dyDescent="0.25">
      <c r="A22" s="1">
        <f t="shared" si="0"/>
        <v>20</v>
      </c>
      <c r="B22" s="1" t="s">
        <v>33</v>
      </c>
      <c r="C22" s="4"/>
      <c r="D22" s="70" t="s">
        <v>5</v>
      </c>
      <c r="E22" s="95">
        <v>2080</v>
      </c>
      <c r="F22" s="96">
        <v>2094</v>
      </c>
      <c r="G22" s="87">
        <v>14</v>
      </c>
      <c r="H22" s="94">
        <v>0</v>
      </c>
      <c r="I22" s="103">
        <v>12800</v>
      </c>
      <c r="J22" s="108">
        <v>12800</v>
      </c>
      <c r="K22" s="91"/>
      <c r="L22" s="85"/>
      <c r="M22" s="110">
        <v>12800</v>
      </c>
    </row>
    <row r="23" spans="1:13" x14ac:dyDescent="0.25">
      <c r="A23" s="1">
        <f t="shared" si="0"/>
        <v>21</v>
      </c>
      <c r="B23" s="1" t="s">
        <v>34</v>
      </c>
      <c r="C23" s="4"/>
      <c r="D23" s="70" t="s">
        <v>5</v>
      </c>
      <c r="E23" s="95">
        <v>3160</v>
      </c>
      <c r="F23" s="96">
        <v>3170</v>
      </c>
      <c r="G23" s="87">
        <v>10</v>
      </c>
      <c r="H23" s="94">
        <v>0</v>
      </c>
      <c r="I23" s="103">
        <v>10000</v>
      </c>
      <c r="J23" s="107">
        <v>10000</v>
      </c>
      <c r="K23" s="107">
        <v>10000</v>
      </c>
      <c r="L23" s="85" t="s">
        <v>358</v>
      </c>
      <c r="M23" s="110">
        <v>0</v>
      </c>
    </row>
    <row r="24" spans="1:13" x14ac:dyDescent="0.25">
      <c r="A24" s="1">
        <f t="shared" si="0"/>
        <v>22</v>
      </c>
      <c r="B24" s="1" t="s">
        <v>35</v>
      </c>
      <c r="C24" s="4" t="s">
        <v>340</v>
      </c>
      <c r="D24" s="70" t="s">
        <v>5</v>
      </c>
      <c r="E24" s="95">
        <v>88</v>
      </c>
      <c r="F24" s="96">
        <v>88</v>
      </c>
      <c r="G24" s="87">
        <v>0</v>
      </c>
      <c r="H24" s="94">
        <v>36000</v>
      </c>
      <c r="I24" s="103">
        <v>3000</v>
      </c>
      <c r="J24" s="107">
        <v>39000</v>
      </c>
      <c r="K24" s="91"/>
      <c r="L24" s="85"/>
      <c r="M24" s="110">
        <v>39000</v>
      </c>
    </row>
    <row r="25" spans="1:13" x14ac:dyDescent="0.25">
      <c r="A25" s="1">
        <f t="shared" si="0"/>
        <v>23</v>
      </c>
      <c r="B25" s="1" t="s">
        <v>36</v>
      </c>
      <c r="C25" s="4" t="s">
        <v>341</v>
      </c>
      <c r="D25" s="70" t="s">
        <v>5</v>
      </c>
      <c r="E25" s="95">
        <v>1743</v>
      </c>
      <c r="F25" s="96">
        <v>1755</v>
      </c>
      <c r="G25" s="87">
        <v>12</v>
      </c>
      <c r="H25" s="94">
        <v>0</v>
      </c>
      <c r="I25" s="103">
        <v>5700</v>
      </c>
      <c r="J25" s="107">
        <v>5700</v>
      </c>
      <c r="K25" s="91"/>
      <c r="L25" s="85"/>
      <c r="M25" s="110">
        <v>5700</v>
      </c>
    </row>
    <row r="26" spans="1:13" x14ac:dyDescent="0.25">
      <c r="A26" s="1">
        <f t="shared" si="0"/>
        <v>24</v>
      </c>
      <c r="B26" s="1" t="s">
        <v>37</v>
      </c>
      <c r="C26" s="4" t="s">
        <v>342</v>
      </c>
      <c r="D26" s="70" t="s">
        <v>5</v>
      </c>
      <c r="E26" s="95">
        <v>581</v>
      </c>
      <c r="F26" s="96">
        <v>581</v>
      </c>
      <c r="G26" s="87">
        <v>0</v>
      </c>
      <c r="H26" s="94">
        <v>3000</v>
      </c>
      <c r="I26" s="103">
        <v>3000</v>
      </c>
      <c r="J26" s="107">
        <v>6000</v>
      </c>
      <c r="K26" s="107">
        <v>10000</v>
      </c>
      <c r="L26" s="85" t="s">
        <v>359</v>
      </c>
      <c r="M26" s="110">
        <v>0</v>
      </c>
    </row>
    <row r="27" spans="1:13" x14ac:dyDescent="0.25">
      <c r="A27" s="1">
        <f t="shared" si="0"/>
        <v>25</v>
      </c>
      <c r="B27" s="1" t="s">
        <v>38</v>
      </c>
      <c r="C27" s="4" t="s">
        <v>343</v>
      </c>
      <c r="D27" s="70" t="s">
        <v>5</v>
      </c>
      <c r="E27" s="95">
        <v>785</v>
      </c>
      <c r="F27" s="96">
        <v>790</v>
      </c>
      <c r="G27" s="87">
        <v>5</v>
      </c>
      <c r="H27" s="94">
        <v>143800</v>
      </c>
      <c r="I27" s="103">
        <v>6500</v>
      </c>
      <c r="J27" s="107">
        <v>150300</v>
      </c>
      <c r="K27" s="107">
        <v>30000</v>
      </c>
      <c r="L27" s="85" t="s">
        <v>358</v>
      </c>
      <c r="M27" s="110">
        <v>120300</v>
      </c>
    </row>
    <row r="28" spans="1:13" x14ac:dyDescent="0.25">
      <c r="A28" s="1">
        <f t="shared" si="0"/>
        <v>26</v>
      </c>
      <c r="B28" s="1" t="s">
        <v>39</v>
      </c>
      <c r="C28" s="4" t="s">
        <v>344</v>
      </c>
      <c r="D28" s="70" t="s">
        <v>5</v>
      </c>
      <c r="E28" s="95">
        <v>1914</v>
      </c>
      <c r="F28" s="96">
        <v>1920</v>
      </c>
      <c r="G28" s="87">
        <v>6</v>
      </c>
      <c r="H28" s="94">
        <v>0</v>
      </c>
      <c r="I28" s="103">
        <v>7200</v>
      </c>
      <c r="J28" s="107">
        <v>7200</v>
      </c>
      <c r="K28" s="91"/>
      <c r="L28" s="85"/>
      <c r="M28" s="110">
        <v>7200</v>
      </c>
    </row>
    <row r="29" spans="1:13" x14ac:dyDescent="0.25">
      <c r="A29" s="1">
        <f t="shared" si="0"/>
        <v>27</v>
      </c>
      <c r="B29" s="1" t="s">
        <v>40</v>
      </c>
      <c r="C29" s="4" t="s">
        <v>345</v>
      </c>
      <c r="D29" s="70" t="s">
        <v>5</v>
      </c>
      <c r="E29" s="95">
        <v>3126</v>
      </c>
      <c r="F29" s="96">
        <v>3136</v>
      </c>
      <c r="G29" s="87">
        <v>10</v>
      </c>
      <c r="H29" s="94">
        <v>110700</v>
      </c>
      <c r="I29" s="103">
        <v>10000</v>
      </c>
      <c r="J29" s="107">
        <v>120700</v>
      </c>
      <c r="K29" s="91"/>
      <c r="L29" s="85"/>
      <c r="M29" s="110">
        <v>120700</v>
      </c>
    </row>
    <row r="30" spans="1:13" x14ac:dyDescent="0.25">
      <c r="A30" s="1">
        <f t="shared" si="0"/>
        <v>28</v>
      </c>
      <c r="B30" s="1" t="s">
        <v>41</v>
      </c>
      <c r="C30" s="4"/>
      <c r="D30" s="70" t="s">
        <v>5</v>
      </c>
      <c r="E30" s="95">
        <v>2420</v>
      </c>
      <c r="F30" s="96">
        <v>2420</v>
      </c>
      <c r="G30" s="87">
        <v>0</v>
      </c>
      <c r="H30" s="94">
        <v>129200</v>
      </c>
      <c r="I30" s="103">
        <v>3000</v>
      </c>
      <c r="J30" s="107">
        <v>132200</v>
      </c>
      <c r="K30" s="91"/>
      <c r="L30" s="85"/>
      <c r="M30" s="110">
        <v>132200</v>
      </c>
    </row>
    <row r="31" spans="1:13" x14ac:dyDescent="0.25">
      <c r="A31" s="1">
        <f t="shared" si="0"/>
        <v>29</v>
      </c>
      <c r="B31" s="1" t="s">
        <v>42</v>
      </c>
      <c r="C31" s="4" t="s">
        <v>346</v>
      </c>
      <c r="D31" s="70" t="s">
        <v>5</v>
      </c>
      <c r="E31" s="95">
        <v>3866</v>
      </c>
      <c r="F31" s="96">
        <v>3880</v>
      </c>
      <c r="G31" s="87">
        <v>14</v>
      </c>
      <c r="H31" s="94">
        <v>1400</v>
      </c>
      <c r="I31" s="103">
        <v>12800</v>
      </c>
      <c r="J31" s="107">
        <v>14200</v>
      </c>
      <c r="K31" s="107">
        <v>14200</v>
      </c>
      <c r="L31" s="85" t="s">
        <v>359</v>
      </c>
      <c r="M31" s="110">
        <v>0</v>
      </c>
    </row>
    <row r="32" spans="1:13" x14ac:dyDescent="0.25">
      <c r="A32" s="1">
        <f t="shared" si="0"/>
        <v>30</v>
      </c>
      <c r="B32" s="1" t="s">
        <v>43</v>
      </c>
      <c r="C32" s="4" t="s">
        <v>347</v>
      </c>
      <c r="D32" s="70" t="s">
        <v>5</v>
      </c>
      <c r="E32" s="95">
        <v>2880</v>
      </c>
      <c r="F32" s="96">
        <v>2928</v>
      </c>
      <c r="G32" s="87">
        <v>48</v>
      </c>
      <c r="H32" s="94">
        <v>0</v>
      </c>
      <c r="I32" s="103">
        <v>36600</v>
      </c>
      <c r="J32" s="107">
        <v>36600</v>
      </c>
      <c r="K32" s="107">
        <v>36600</v>
      </c>
      <c r="L32" s="85" t="s">
        <v>358</v>
      </c>
      <c r="M32" s="110">
        <v>0</v>
      </c>
    </row>
    <row r="33" spans="1:13" x14ac:dyDescent="0.25">
      <c r="A33" s="1">
        <f t="shared" si="0"/>
        <v>31</v>
      </c>
      <c r="B33" s="1" t="s">
        <v>44</v>
      </c>
      <c r="C33" s="4" t="s">
        <v>348</v>
      </c>
      <c r="D33" s="70" t="s">
        <v>5</v>
      </c>
      <c r="E33" s="95">
        <v>4693</v>
      </c>
      <c r="F33" s="96">
        <v>4728</v>
      </c>
      <c r="G33" s="87">
        <v>35</v>
      </c>
      <c r="H33" s="94">
        <v>21800</v>
      </c>
      <c r="I33" s="103">
        <v>27500</v>
      </c>
      <c r="J33" s="107">
        <v>49300</v>
      </c>
      <c r="K33" s="91"/>
      <c r="L33" s="85"/>
      <c r="M33" s="110">
        <v>49300</v>
      </c>
    </row>
    <row r="34" spans="1:13" x14ac:dyDescent="0.25">
      <c r="A34" s="1">
        <f t="shared" ref="A34:A50" si="1">A33+1</f>
        <v>32</v>
      </c>
      <c r="B34" s="1" t="s">
        <v>45</v>
      </c>
      <c r="C34" s="4"/>
      <c r="D34" s="70" t="s">
        <v>5</v>
      </c>
      <c r="E34" s="95">
        <v>799</v>
      </c>
      <c r="F34" s="96">
        <v>805</v>
      </c>
      <c r="G34" s="87">
        <v>6</v>
      </c>
      <c r="H34" s="94">
        <v>26300</v>
      </c>
      <c r="I34" s="103">
        <v>7200</v>
      </c>
      <c r="J34" s="107">
        <v>33500</v>
      </c>
      <c r="K34" s="91"/>
      <c r="L34" s="85"/>
      <c r="M34" s="110">
        <v>33500</v>
      </c>
    </row>
    <row r="35" spans="1:13" x14ac:dyDescent="0.25">
      <c r="A35" s="1">
        <f t="shared" si="1"/>
        <v>33</v>
      </c>
      <c r="B35" s="1" t="s">
        <v>360</v>
      </c>
      <c r="C35" s="4"/>
      <c r="D35" s="70" t="s">
        <v>5</v>
      </c>
      <c r="E35" s="95">
        <v>4427</v>
      </c>
      <c r="F35" s="96">
        <v>4437</v>
      </c>
      <c r="G35" s="87">
        <v>10</v>
      </c>
      <c r="H35" s="94">
        <v>13300</v>
      </c>
      <c r="I35" s="103">
        <v>10000</v>
      </c>
      <c r="J35" s="107">
        <v>23300</v>
      </c>
      <c r="K35" s="91"/>
      <c r="L35" s="85"/>
      <c r="M35" s="110">
        <v>23300</v>
      </c>
    </row>
    <row r="36" spans="1:13" x14ac:dyDescent="0.25">
      <c r="A36" s="1">
        <f t="shared" si="1"/>
        <v>34</v>
      </c>
      <c r="B36" s="1" t="s">
        <v>46</v>
      </c>
      <c r="C36" s="4"/>
      <c r="D36" s="70" t="s">
        <v>5</v>
      </c>
      <c r="E36" s="95">
        <v>930</v>
      </c>
      <c r="F36" s="96">
        <v>960</v>
      </c>
      <c r="G36" s="87">
        <v>30</v>
      </c>
      <c r="H36" s="94">
        <v>0</v>
      </c>
      <c r="I36" s="103">
        <v>24000</v>
      </c>
      <c r="J36" s="107">
        <v>24000</v>
      </c>
      <c r="K36" s="108">
        <v>23900</v>
      </c>
      <c r="L36" s="86" t="s">
        <v>359</v>
      </c>
      <c r="M36" s="110">
        <v>100</v>
      </c>
    </row>
    <row r="37" spans="1:13" x14ac:dyDescent="0.25">
      <c r="A37" s="1">
        <f t="shared" si="1"/>
        <v>35</v>
      </c>
      <c r="B37" s="1" t="s">
        <v>47</v>
      </c>
      <c r="C37" s="4"/>
      <c r="D37" s="70" t="s">
        <v>5</v>
      </c>
      <c r="E37" s="95">
        <v>4254</v>
      </c>
      <c r="F37" s="96">
        <v>4280</v>
      </c>
      <c r="G37" s="87">
        <v>26</v>
      </c>
      <c r="H37" s="94">
        <v>0</v>
      </c>
      <c r="I37" s="103">
        <v>21200</v>
      </c>
      <c r="J37" s="107">
        <v>21200</v>
      </c>
      <c r="K37" s="107">
        <v>21200</v>
      </c>
      <c r="L37" s="85" t="s">
        <v>358</v>
      </c>
      <c r="M37" s="110">
        <v>0</v>
      </c>
    </row>
    <row r="38" spans="1:13" x14ac:dyDescent="0.25">
      <c r="A38" s="1">
        <f t="shared" si="1"/>
        <v>36</v>
      </c>
      <c r="B38" s="1" t="s">
        <v>48</v>
      </c>
      <c r="C38" s="4"/>
      <c r="D38" s="70" t="s">
        <v>5</v>
      </c>
      <c r="E38" s="95">
        <v>1087</v>
      </c>
      <c r="F38" s="96">
        <v>1091</v>
      </c>
      <c r="G38" s="87">
        <v>4</v>
      </c>
      <c r="H38" s="94">
        <v>0</v>
      </c>
      <c r="I38" s="103">
        <v>2900</v>
      </c>
      <c r="J38" s="107">
        <v>2900</v>
      </c>
      <c r="K38" s="107">
        <v>2900</v>
      </c>
      <c r="L38" s="85" t="s">
        <v>358</v>
      </c>
      <c r="M38" s="110">
        <v>0</v>
      </c>
    </row>
    <row r="39" spans="1:13" x14ac:dyDescent="0.25">
      <c r="A39" s="1">
        <f t="shared" si="1"/>
        <v>37</v>
      </c>
      <c r="B39" s="1" t="s">
        <v>49</v>
      </c>
      <c r="C39" s="4"/>
      <c r="D39" s="70" t="s">
        <v>5</v>
      </c>
      <c r="E39" s="95">
        <v>2866</v>
      </c>
      <c r="F39" s="96">
        <v>2877</v>
      </c>
      <c r="G39" s="87">
        <v>11</v>
      </c>
      <c r="H39" s="94">
        <v>36500</v>
      </c>
      <c r="I39" s="103">
        <v>10700</v>
      </c>
      <c r="J39" s="107">
        <v>47200</v>
      </c>
      <c r="K39" s="91"/>
      <c r="L39" s="85"/>
      <c r="M39" s="110">
        <v>47200</v>
      </c>
    </row>
    <row r="40" spans="1:13" x14ac:dyDescent="0.25">
      <c r="A40" s="1">
        <f t="shared" si="1"/>
        <v>38</v>
      </c>
      <c r="B40" s="1" t="s">
        <v>50</v>
      </c>
      <c r="C40" s="4"/>
      <c r="D40" s="70" t="s">
        <v>5</v>
      </c>
      <c r="E40" s="95">
        <v>2375</v>
      </c>
      <c r="F40" s="96">
        <v>2375</v>
      </c>
      <c r="G40" s="87">
        <v>0</v>
      </c>
      <c r="H40" s="94">
        <v>0</v>
      </c>
      <c r="I40" s="103">
        <v>3000</v>
      </c>
      <c r="J40" s="107">
        <v>3000</v>
      </c>
      <c r="K40" s="91"/>
      <c r="L40" s="85"/>
      <c r="M40" s="110">
        <v>3000</v>
      </c>
    </row>
    <row r="41" spans="1:13" x14ac:dyDescent="0.25">
      <c r="A41" s="1">
        <f t="shared" si="1"/>
        <v>39</v>
      </c>
      <c r="B41" s="1" t="s">
        <v>51</v>
      </c>
      <c r="C41" s="4"/>
      <c r="D41" s="70" t="s">
        <v>5</v>
      </c>
      <c r="E41" s="95">
        <v>4213</v>
      </c>
      <c r="F41" s="96">
        <v>4242</v>
      </c>
      <c r="G41" s="87">
        <v>8</v>
      </c>
      <c r="H41" s="94">
        <v>38000</v>
      </c>
      <c r="I41" s="103">
        <v>8600</v>
      </c>
      <c r="J41" s="107">
        <v>46600</v>
      </c>
      <c r="K41" s="107">
        <v>46600</v>
      </c>
      <c r="L41" s="85" t="s">
        <v>358</v>
      </c>
      <c r="M41" s="110">
        <v>0</v>
      </c>
    </row>
    <row r="42" spans="1:13" x14ac:dyDescent="0.25">
      <c r="A42" s="9">
        <f t="shared" si="1"/>
        <v>40</v>
      </c>
      <c r="B42" s="119" t="s">
        <v>365</v>
      </c>
      <c r="C42" s="120"/>
      <c r="D42" s="121" t="s">
        <v>5</v>
      </c>
      <c r="E42" s="122">
        <v>4005</v>
      </c>
      <c r="F42" s="123">
        <v>4015</v>
      </c>
      <c r="G42" s="125">
        <v>10</v>
      </c>
      <c r="H42" s="124">
        <v>6050</v>
      </c>
      <c r="I42" s="124">
        <v>5000</v>
      </c>
      <c r="J42" s="126">
        <v>11050</v>
      </c>
      <c r="K42" s="126">
        <v>11050</v>
      </c>
      <c r="L42" s="127" t="s">
        <v>359</v>
      </c>
      <c r="M42" s="126">
        <v>0</v>
      </c>
    </row>
    <row r="43" spans="1:13" x14ac:dyDescent="0.25">
      <c r="A43" s="1">
        <f t="shared" si="1"/>
        <v>41</v>
      </c>
      <c r="B43" s="1" t="s">
        <v>349</v>
      </c>
      <c r="C43" s="4"/>
      <c r="D43" s="70" t="s">
        <v>5</v>
      </c>
      <c r="E43" s="95">
        <v>2199</v>
      </c>
      <c r="F43" s="96">
        <v>2230</v>
      </c>
      <c r="G43" s="87">
        <v>31</v>
      </c>
      <c r="H43" s="94">
        <v>0</v>
      </c>
      <c r="I43" s="103">
        <v>24700</v>
      </c>
      <c r="J43" s="107">
        <v>24700</v>
      </c>
      <c r="K43" s="107">
        <v>24700</v>
      </c>
      <c r="L43" s="85" t="s">
        <v>358</v>
      </c>
      <c r="M43" s="110">
        <v>0</v>
      </c>
    </row>
    <row r="44" spans="1:13" x14ac:dyDescent="0.25">
      <c r="A44" s="1">
        <f t="shared" si="1"/>
        <v>42</v>
      </c>
      <c r="B44" s="1" t="s">
        <v>54</v>
      </c>
      <c r="C44" s="4"/>
      <c r="D44" s="70" t="s">
        <v>5</v>
      </c>
      <c r="E44" s="95">
        <v>1621</v>
      </c>
      <c r="F44" s="96">
        <v>1634</v>
      </c>
      <c r="G44" s="87">
        <v>13</v>
      </c>
      <c r="H44" s="94">
        <v>0</v>
      </c>
      <c r="I44" s="103">
        <v>6050</v>
      </c>
      <c r="J44" s="107">
        <v>6050</v>
      </c>
      <c r="K44" s="107">
        <v>6050</v>
      </c>
      <c r="L44" s="85" t="s">
        <v>358</v>
      </c>
      <c r="M44" s="110">
        <v>0</v>
      </c>
    </row>
    <row r="45" spans="1:13" x14ac:dyDescent="0.25">
      <c r="A45" s="1">
        <f t="shared" si="1"/>
        <v>43</v>
      </c>
      <c r="B45" s="1" t="s">
        <v>55</v>
      </c>
      <c r="C45" s="4"/>
      <c r="D45" s="70" t="s">
        <v>5</v>
      </c>
      <c r="E45" s="95">
        <v>1046</v>
      </c>
      <c r="F45" s="96">
        <v>1090</v>
      </c>
      <c r="G45" s="87">
        <v>44</v>
      </c>
      <c r="H45" s="94">
        <v>0</v>
      </c>
      <c r="I45" s="103">
        <v>33800</v>
      </c>
      <c r="J45" s="107">
        <v>33800</v>
      </c>
      <c r="K45" s="107">
        <v>10000</v>
      </c>
      <c r="L45" s="85" t="s">
        <v>358</v>
      </c>
      <c r="M45" s="110">
        <v>23800</v>
      </c>
    </row>
    <row r="46" spans="1:13" x14ac:dyDescent="0.25">
      <c r="A46" s="1">
        <f t="shared" si="1"/>
        <v>44</v>
      </c>
      <c r="B46" s="1" t="s">
        <v>56</v>
      </c>
      <c r="C46" s="4"/>
      <c r="D46" s="70" t="s">
        <v>5</v>
      </c>
      <c r="E46" s="95">
        <v>380</v>
      </c>
      <c r="F46" s="96">
        <v>388</v>
      </c>
      <c r="G46" s="87">
        <v>8</v>
      </c>
      <c r="H46" s="94">
        <v>0</v>
      </c>
      <c r="I46" s="103">
        <v>8600</v>
      </c>
      <c r="J46" s="107">
        <v>8600</v>
      </c>
      <c r="K46" s="107">
        <v>8600</v>
      </c>
      <c r="L46" s="85" t="s">
        <v>358</v>
      </c>
      <c r="M46" s="110">
        <v>0</v>
      </c>
    </row>
    <row r="47" spans="1:13" x14ac:dyDescent="0.25">
      <c r="A47" s="1">
        <f t="shared" si="1"/>
        <v>45</v>
      </c>
      <c r="B47" s="1" t="s">
        <v>57</v>
      </c>
      <c r="C47" s="4"/>
      <c r="D47" s="70" t="s">
        <v>5</v>
      </c>
      <c r="E47" s="95">
        <v>3761</v>
      </c>
      <c r="F47" s="96">
        <v>3770</v>
      </c>
      <c r="G47" s="87">
        <v>9</v>
      </c>
      <c r="H47" s="94">
        <v>3950</v>
      </c>
      <c r="I47" s="103">
        <v>4650</v>
      </c>
      <c r="J47" s="107">
        <v>8600</v>
      </c>
      <c r="K47" s="107">
        <v>8600</v>
      </c>
      <c r="L47" s="85" t="s">
        <v>358</v>
      </c>
      <c r="M47" s="110">
        <v>0</v>
      </c>
    </row>
    <row r="48" spans="1:13" x14ac:dyDescent="0.25">
      <c r="A48" s="1">
        <f t="shared" si="1"/>
        <v>46</v>
      </c>
      <c r="B48" s="1" t="s">
        <v>350</v>
      </c>
      <c r="C48" s="4"/>
      <c r="D48" s="70" t="s">
        <v>5</v>
      </c>
      <c r="E48" s="95">
        <v>1046</v>
      </c>
      <c r="F48" s="96">
        <v>1053</v>
      </c>
      <c r="G48" s="87">
        <v>7</v>
      </c>
      <c r="H48" s="94">
        <v>3700</v>
      </c>
      <c r="I48" s="103">
        <v>7900</v>
      </c>
      <c r="J48" s="107">
        <v>11600</v>
      </c>
      <c r="K48" s="107">
        <v>11600</v>
      </c>
      <c r="L48" s="85" t="s">
        <v>358</v>
      </c>
      <c r="M48" s="110">
        <v>0</v>
      </c>
    </row>
    <row r="49" spans="1:13" x14ac:dyDescent="0.25">
      <c r="A49" s="1">
        <f t="shared" si="1"/>
        <v>47</v>
      </c>
      <c r="B49" s="1" t="s">
        <v>59</v>
      </c>
      <c r="C49" s="4"/>
      <c r="D49" s="70" t="s">
        <v>5</v>
      </c>
      <c r="E49" s="95">
        <v>486</v>
      </c>
      <c r="F49" s="96">
        <v>497</v>
      </c>
      <c r="G49" s="87">
        <v>11</v>
      </c>
      <c r="H49" s="94">
        <v>0</v>
      </c>
      <c r="I49" s="103">
        <v>10700</v>
      </c>
      <c r="J49" s="107">
        <v>10700</v>
      </c>
      <c r="K49" s="107">
        <v>10700</v>
      </c>
      <c r="L49" s="85" t="s">
        <v>358</v>
      </c>
      <c r="M49" s="110">
        <v>0</v>
      </c>
    </row>
    <row r="50" spans="1:13" x14ac:dyDescent="0.25">
      <c r="A50" s="1">
        <f t="shared" si="1"/>
        <v>48</v>
      </c>
      <c r="B50" s="1" t="s">
        <v>60</v>
      </c>
      <c r="C50" s="4"/>
      <c r="D50" s="70" t="s">
        <v>5</v>
      </c>
      <c r="E50" s="95">
        <v>3280</v>
      </c>
      <c r="F50" s="96">
        <v>3302</v>
      </c>
      <c r="G50" s="87">
        <v>22</v>
      </c>
      <c r="H50" s="94">
        <v>0</v>
      </c>
      <c r="I50" s="103">
        <v>18400</v>
      </c>
      <c r="J50" s="107">
        <v>18400</v>
      </c>
      <c r="K50" s="107">
        <v>18400</v>
      </c>
      <c r="L50" s="85" t="s">
        <v>358</v>
      </c>
      <c r="M50" s="110">
        <v>0</v>
      </c>
    </row>
    <row r="51" spans="1:13" x14ac:dyDescent="0.25">
      <c r="A51" s="1">
        <f>A50+1</f>
        <v>49</v>
      </c>
      <c r="B51" s="1" t="s">
        <v>351</v>
      </c>
      <c r="C51" s="4"/>
      <c r="D51" s="70" t="s">
        <v>5</v>
      </c>
      <c r="E51" s="95">
        <v>2374</v>
      </c>
      <c r="F51" s="96">
        <v>2374</v>
      </c>
      <c r="G51" s="87">
        <v>0</v>
      </c>
      <c r="H51" s="94">
        <v>0</v>
      </c>
      <c r="I51" s="103">
        <v>3000</v>
      </c>
      <c r="J51" s="107">
        <v>3000</v>
      </c>
      <c r="K51" s="107">
        <v>3000</v>
      </c>
      <c r="L51" s="85" t="s">
        <v>358</v>
      </c>
      <c r="M51" s="110">
        <v>0</v>
      </c>
    </row>
    <row r="52" spans="1:13" x14ac:dyDescent="0.25">
      <c r="A52" s="1">
        <f t="shared" ref="A52:A68" si="2">A51+1</f>
        <v>50</v>
      </c>
      <c r="B52" s="1" t="s">
        <v>61</v>
      </c>
      <c r="C52" s="4"/>
      <c r="D52" s="70" t="s">
        <v>5</v>
      </c>
      <c r="E52" s="95">
        <v>695</v>
      </c>
      <c r="F52" s="96">
        <v>698</v>
      </c>
      <c r="G52" s="87">
        <v>3</v>
      </c>
      <c r="H52" s="94">
        <v>5100</v>
      </c>
      <c r="I52" s="103">
        <v>5100</v>
      </c>
      <c r="J52" s="107">
        <v>10200</v>
      </c>
      <c r="K52" s="107">
        <v>10200</v>
      </c>
      <c r="L52" s="85" t="s">
        <v>358</v>
      </c>
      <c r="M52" s="110">
        <v>0</v>
      </c>
    </row>
    <row r="53" spans="1:13" x14ac:dyDescent="0.25">
      <c r="A53" s="1">
        <f t="shared" si="2"/>
        <v>51</v>
      </c>
      <c r="B53" s="1" t="s">
        <v>62</v>
      </c>
      <c r="C53" s="4"/>
      <c r="D53" s="70" t="s">
        <v>5</v>
      </c>
      <c r="E53" s="95">
        <v>1740</v>
      </c>
      <c r="F53" s="96">
        <v>1751</v>
      </c>
      <c r="G53" s="87">
        <v>11</v>
      </c>
      <c r="H53" s="94">
        <v>23000</v>
      </c>
      <c r="I53" s="103">
        <v>10700</v>
      </c>
      <c r="J53" s="107">
        <v>33700</v>
      </c>
      <c r="K53" s="91"/>
      <c r="L53" s="85"/>
      <c r="M53" s="110">
        <v>33700</v>
      </c>
    </row>
    <row r="54" spans="1:13" x14ac:dyDescent="0.25">
      <c r="A54" s="1">
        <f t="shared" si="2"/>
        <v>52</v>
      </c>
      <c r="B54" s="1" t="s">
        <v>63</v>
      </c>
      <c r="C54" s="4"/>
      <c r="D54" s="70" t="s">
        <v>5</v>
      </c>
      <c r="E54" s="95">
        <v>1442</v>
      </c>
      <c r="F54" s="96">
        <v>1458</v>
      </c>
      <c r="G54" s="87">
        <v>16</v>
      </c>
      <c r="H54" s="94">
        <v>101400</v>
      </c>
      <c r="I54" s="103">
        <v>14200</v>
      </c>
      <c r="J54" s="107">
        <v>115600</v>
      </c>
      <c r="K54" s="107">
        <v>55000</v>
      </c>
      <c r="L54" s="84" t="s">
        <v>358</v>
      </c>
      <c r="M54" s="110">
        <v>60600</v>
      </c>
    </row>
    <row r="55" spans="1:13" x14ac:dyDescent="0.25">
      <c r="A55" s="1">
        <f t="shared" si="2"/>
        <v>53</v>
      </c>
      <c r="B55" s="1" t="s">
        <v>64</v>
      </c>
      <c r="C55" s="4"/>
      <c r="D55" s="70" t="s">
        <v>5</v>
      </c>
      <c r="E55" s="95">
        <v>709</v>
      </c>
      <c r="F55" s="96">
        <v>713</v>
      </c>
      <c r="G55" s="87">
        <v>4</v>
      </c>
      <c r="H55" s="94">
        <v>18100</v>
      </c>
      <c r="I55" s="103">
        <v>5800</v>
      </c>
      <c r="J55" s="107">
        <v>23900</v>
      </c>
      <c r="K55" s="107">
        <v>23900</v>
      </c>
      <c r="L55" s="85" t="s">
        <v>359</v>
      </c>
      <c r="M55" s="110">
        <v>0</v>
      </c>
    </row>
    <row r="56" spans="1:13" x14ac:dyDescent="0.25">
      <c r="A56" s="1">
        <f t="shared" si="2"/>
        <v>54</v>
      </c>
      <c r="B56" s="1" t="s">
        <v>65</v>
      </c>
      <c r="C56" s="4"/>
      <c r="D56" s="70" t="s">
        <v>5</v>
      </c>
      <c r="E56" s="95">
        <v>1315</v>
      </c>
      <c r="F56" s="96">
        <v>1331</v>
      </c>
      <c r="G56" s="87">
        <v>16</v>
      </c>
      <c r="H56" s="94">
        <v>0</v>
      </c>
      <c r="I56" s="103">
        <v>14200</v>
      </c>
      <c r="J56" s="107">
        <v>14200</v>
      </c>
      <c r="K56" s="107">
        <v>14200</v>
      </c>
      <c r="L56" s="84" t="s">
        <v>358</v>
      </c>
      <c r="M56" s="110">
        <v>0</v>
      </c>
    </row>
    <row r="57" spans="1:13" x14ac:dyDescent="0.25">
      <c r="A57" s="1">
        <f t="shared" si="2"/>
        <v>55</v>
      </c>
      <c r="B57" s="1" t="s">
        <v>66</v>
      </c>
      <c r="C57" s="4"/>
      <c r="D57" s="70" t="s">
        <v>5</v>
      </c>
      <c r="E57" s="95">
        <v>6273</v>
      </c>
      <c r="F57" s="96">
        <v>6284</v>
      </c>
      <c r="G57" s="87">
        <v>11</v>
      </c>
      <c r="H57" s="94">
        <v>0</v>
      </c>
      <c r="I57" s="103">
        <v>19700</v>
      </c>
      <c r="J57" s="108">
        <v>10700</v>
      </c>
      <c r="K57" s="107">
        <v>10700</v>
      </c>
      <c r="L57" s="85" t="s">
        <v>358</v>
      </c>
      <c r="M57" s="110">
        <v>0</v>
      </c>
    </row>
    <row r="58" spans="1:13" x14ac:dyDescent="0.25">
      <c r="A58" s="1">
        <f t="shared" si="2"/>
        <v>56</v>
      </c>
      <c r="B58" s="1" t="s">
        <v>67</v>
      </c>
      <c r="C58" s="4"/>
      <c r="D58" s="70" t="s">
        <v>5</v>
      </c>
      <c r="E58" s="95">
        <v>895</v>
      </c>
      <c r="F58" s="96">
        <v>905</v>
      </c>
      <c r="G58" s="87">
        <v>10</v>
      </c>
      <c r="H58" s="94">
        <v>0</v>
      </c>
      <c r="I58" s="103">
        <v>10000</v>
      </c>
      <c r="J58" s="107">
        <v>10000</v>
      </c>
      <c r="K58" s="107">
        <v>10000</v>
      </c>
      <c r="L58" s="85" t="s">
        <v>358</v>
      </c>
      <c r="M58" s="110">
        <v>0</v>
      </c>
    </row>
    <row r="59" spans="1:13" x14ac:dyDescent="0.25">
      <c r="A59" s="1">
        <f t="shared" si="2"/>
        <v>57</v>
      </c>
      <c r="B59" s="1" t="s">
        <v>68</v>
      </c>
      <c r="C59" s="4"/>
      <c r="D59" s="70" t="s">
        <v>5</v>
      </c>
      <c r="E59" s="95">
        <v>739</v>
      </c>
      <c r="F59" s="96">
        <v>742</v>
      </c>
      <c r="G59" s="87">
        <v>3</v>
      </c>
      <c r="H59" s="94">
        <v>0</v>
      </c>
      <c r="I59" s="103">
        <v>5100</v>
      </c>
      <c r="J59" s="107">
        <v>5100</v>
      </c>
      <c r="K59" s="107">
        <v>5100</v>
      </c>
      <c r="L59" s="85" t="s">
        <v>358</v>
      </c>
      <c r="M59" s="110">
        <v>0</v>
      </c>
    </row>
    <row r="60" spans="1:13" x14ac:dyDescent="0.25">
      <c r="A60" s="1">
        <f t="shared" si="2"/>
        <v>58</v>
      </c>
      <c r="B60" s="1" t="s">
        <v>69</v>
      </c>
      <c r="C60" s="4"/>
      <c r="D60" s="70" t="s">
        <v>5</v>
      </c>
      <c r="E60" s="95">
        <v>1374</v>
      </c>
      <c r="F60" s="96">
        <v>1379</v>
      </c>
      <c r="G60" s="87">
        <v>5</v>
      </c>
      <c r="H60" s="94">
        <v>0</v>
      </c>
      <c r="I60" s="103">
        <v>6500</v>
      </c>
      <c r="J60" s="107">
        <v>6500</v>
      </c>
      <c r="K60" s="107">
        <v>6500</v>
      </c>
      <c r="L60" s="84" t="s">
        <v>358</v>
      </c>
      <c r="M60" s="110">
        <v>0</v>
      </c>
    </row>
    <row r="61" spans="1:13" x14ac:dyDescent="0.25">
      <c r="A61" s="1">
        <f t="shared" si="2"/>
        <v>59</v>
      </c>
      <c r="B61" s="1" t="s">
        <v>70</v>
      </c>
      <c r="C61" s="4" t="s">
        <v>90</v>
      </c>
      <c r="D61" s="70" t="s">
        <v>5</v>
      </c>
      <c r="E61" s="95">
        <v>65</v>
      </c>
      <c r="F61" s="96">
        <v>71</v>
      </c>
      <c r="G61" s="87">
        <v>6</v>
      </c>
      <c r="H61" s="94">
        <v>0</v>
      </c>
      <c r="I61" s="103">
        <v>7200</v>
      </c>
      <c r="J61" s="107">
        <v>7200</v>
      </c>
      <c r="K61" s="107">
        <v>7200</v>
      </c>
      <c r="L61" s="85" t="s">
        <v>358</v>
      </c>
      <c r="M61" s="110">
        <v>0</v>
      </c>
    </row>
    <row r="62" spans="1:13" x14ac:dyDescent="0.25">
      <c r="A62" s="1">
        <f t="shared" si="2"/>
        <v>60</v>
      </c>
      <c r="B62" s="1" t="s">
        <v>71</v>
      </c>
      <c r="C62" s="4" t="s">
        <v>89</v>
      </c>
      <c r="D62" s="70" t="s">
        <v>5</v>
      </c>
      <c r="E62" s="95">
        <v>2196</v>
      </c>
      <c r="F62" s="96">
        <v>2234</v>
      </c>
      <c r="G62" s="87">
        <v>38</v>
      </c>
      <c r="H62" s="94">
        <v>0</v>
      </c>
      <c r="I62" s="103">
        <v>29600</v>
      </c>
      <c r="J62" s="107">
        <v>29600</v>
      </c>
      <c r="K62" s="107">
        <v>29600</v>
      </c>
      <c r="L62" s="85" t="s">
        <v>358</v>
      </c>
      <c r="M62" s="110">
        <v>0</v>
      </c>
    </row>
    <row r="63" spans="1:13" x14ac:dyDescent="0.25">
      <c r="A63" s="1">
        <f t="shared" si="2"/>
        <v>61</v>
      </c>
      <c r="B63" s="1" t="s">
        <v>72</v>
      </c>
      <c r="C63" s="4" t="s">
        <v>88</v>
      </c>
      <c r="D63" s="70" t="s">
        <v>5</v>
      </c>
      <c r="E63" s="95">
        <v>7480</v>
      </c>
      <c r="F63" s="96">
        <v>7724</v>
      </c>
      <c r="G63" s="87">
        <v>244</v>
      </c>
      <c r="H63" s="94">
        <v>0</v>
      </c>
      <c r="I63" s="103">
        <v>236800</v>
      </c>
      <c r="J63" s="107">
        <v>236800</v>
      </c>
      <c r="K63" s="107">
        <v>236800</v>
      </c>
      <c r="L63" s="85" t="s">
        <v>358</v>
      </c>
      <c r="M63" s="110">
        <v>0</v>
      </c>
    </row>
    <row r="64" spans="1:13" x14ac:dyDescent="0.25">
      <c r="A64" s="1">
        <f t="shared" si="2"/>
        <v>62</v>
      </c>
      <c r="B64" s="1" t="s">
        <v>73</v>
      </c>
      <c r="C64" s="4" t="s">
        <v>87</v>
      </c>
      <c r="D64" s="70" t="s">
        <v>5</v>
      </c>
      <c r="E64" s="95">
        <v>122</v>
      </c>
      <c r="F64" s="96">
        <v>122</v>
      </c>
      <c r="G64" s="87">
        <v>0</v>
      </c>
      <c r="H64" s="94">
        <v>9000</v>
      </c>
      <c r="I64" s="103">
        <v>3000</v>
      </c>
      <c r="J64" s="107">
        <v>12000</v>
      </c>
      <c r="K64" s="91"/>
      <c r="L64" s="85"/>
      <c r="M64" s="110">
        <v>12000</v>
      </c>
    </row>
    <row r="65" spans="1:13" x14ac:dyDescent="0.25">
      <c r="A65" s="1">
        <f t="shared" si="2"/>
        <v>63</v>
      </c>
      <c r="B65" s="1" t="s">
        <v>74</v>
      </c>
      <c r="C65" s="4" t="s">
        <v>86</v>
      </c>
      <c r="D65" s="70" t="s">
        <v>5</v>
      </c>
      <c r="E65" s="95">
        <v>15</v>
      </c>
      <c r="F65" s="96">
        <v>15</v>
      </c>
      <c r="G65" s="87">
        <v>0</v>
      </c>
      <c r="H65" s="94">
        <v>15000</v>
      </c>
      <c r="I65" s="103">
        <v>3000</v>
      </c>
      <c r="J65" s="107">
        <v>18000</v>
      </c>
      <c r="K65" s="107">
        <v>18000</v>
      </c>
      <c r="L65" s="85" t="s">
        <v>358</v>
      </c>
      <c r="M65" s="110">
        <v>0</v>
      </c>
    </row>
    <row r="66" spans="1:13" x14ac:dyDescent="0.25">
      <c r="A66" s="1">
        <f t="shared" si="2"/>
        <v>64</v>
      </c>
      <c r="B66" s="1" t="s">
        <v>84</v>
      </c>
      <c r="C66" s="4" t="s">
        <v>85</v>
      </c>
      <c r="D66" s="70" t="s">
        <v>5</v>
      </c>
      <c r="E66" s="95">
        <v>78</v>
      </c>
      <c r="F66" s="96">
        <v>78</v>
      </c>
      <c r="G66" s="87">
        <v>0</v>
      </c>
      <c r="H66" s="94">
        <v>41100</v>
      </c>
      <c r="I66" s="103">
        <v>3000</v>
      </c>
      <c r="J66" s="107">
        <v>44100</v>
      </c>
      <c r="K66" s="91"/>
      <c r="L66" s="85"/>
      <c r="M66" s="110">
        <v>44100</v>
      </c>
    </row>
    <row r="67" spans="1:13" x14ac:dyDescent="0.25">
      <c r="A67" s="1">
        <f t="shared" si="2"/>
        <v>65</v>
      </c>
      <c r="B67" s="1" t="s">
        <v>75</v>
      </c>
      <c r="C67" s="4" t="s">
        <v>83</v>
      </c>
      <c r="D67" s="70" t="s">
        <v>5</v>
      </c>
      <c r="E67" s="95">
        <v>2783</v>
      </c>
      <c r="F67" s="96">
        <v>2809</v>
      </c>
      <c r="G67" s="87">
        <v>26</v>
      </c>
      <c r="H67" s="94">
        <v>17700</v>
      </c>
      <c r="I67" s="103">
        <v>21200</v>
      </c>
      <c r="J67" s="107">
        <v>38900</v>
      </c>
      <c r="K67" s="107">
        <v>38900</v>
      </c>
      <c r="L67" s="85" t="s">
        <v>358</v>
      </c>
      <c r="M67" s="110">
        <v>0</v>
      </c>
    </row>
    <row r="68" spans="1:13" x14ac:dyDescent="0.25">
      <c r="A68" s="1">
        <f t="shared" si="2"/>
        <v>66</v>
      </c>
      <c r="B68" s="1" t="s">
        <v>76</v>
      </c>
      <c r="C68" s="4" t="s">
        <v>82</v>
      </c>
      <c r="D68" s="70" t="s">
        <v>5</v>
      </c>
      <c r="E68" s="95">
        <v>1211</v>
      </c>
      <c r="F68" s="96">
        <v>1225</v>
      </c>
      <c r="G68" s="87">
        <v>13</v>
      </c>
      <c r="H68" s="94">
        <v>0</v>
      </c>
      <c r="I68" s="103">
        <v>12100</v>
      </c>
      <c r="J68" s="107">
        <v>12100</v>
      </c>
      <c r="K68" s="107">
        <v>12100</v>
      </c>
      <c r="L68" s="85" t="s">
        <v>358</v>
      </c>
      <c r="M68" s="110">
        <v>0</v>
      </c>
    </row>
    <row r="69" spans="1:13" x14ac:dyDescent="0.25">
      <c r="A69" s="1">
        <f>A68+1</f>
        <v>67</v>
      </c>
      <c r="B69" s="1" t="s">
        <v>77</v>
      </c>
      <c r="C69" s="4" t="s">
        <v>6</v>
      </c>
      <c r="D69" s="70" t="s">
        <v>5</v>
      </c>
      <c r="E69" s="95">
        <v>1740</v>
      </c>
      <c r="F69" s="96">
        <v>1740</v>
      </c>
      <c r="G69" s="87">
        <v>0</v>
      </c>
      <c r="H69" s="94">
        <v>3000</v>
      </c>
      <c r="I69" s="103">
        <v>3000</v>
      </c>
      <c r="J69" s="107">
        <v>6000</v>
      </c>
      <c r="K69" s="91"/>
      <c r="L69" s="85"/>
      <c r="M69" s="110">
        <v>6000</v>
      </c>
    </row>
    <row r="70" spans="1:13" x14ac:dyDescent="0.25">
      <c r="A70" s="1">
        <f>A69+1</f>
        <v>68</v>
      </c>
      <c r="B70" s="1" t="s">
        <v>78</v>
      </c>
      <c r="C70" s="4" t="s">
        <v>79</v>
      </c>
      <c r="D70" s="70" t="s">
        <v>5</v>
      </c>
      <c r="E70" s="95">
        <v>1282</v>
      </c>
      <c r="F70" s="96">
        <v>1310</v>
      </c>
      <c r="G70" s="87">
        <v>28</v>
      </c>
      <c r="H70" s="94">
        <v>0</v>
      </c>
      <c r="I70" s="103">
        <v>36100</v>
      </c>
      <c r="J70" s="107">
        <v>36100</v>
      </c>
      <c r="K70" s="107">
        <v>36100</v>
      </c>
      <c r="L70" s="85" t="s">
        <v>358</v>
      </c>
      <c r="M70" s="110">
        <v>0</v>
      </c>
    </row>
    <row r="71" spans="1:13" x14ac:dyDescent="0.25">
      <c r="A71" s="1">
        <v>69</v>
      </c>
      <c r="B71" s="1" t="s">
        <v>80</v>
      </c>
      <c r="C71" s="4" t="s">
        <v>81</v>
      </c>
      <c r="D71" s="70" t="s">
        <v>5</v>
      </c>
      <c r="E71" s="95">
        <v>55</v>
      </c>
      <c r="F71" s="96">
        <v>60</v>
      </c>
      <c r="G71" s="87">
        <v>5</v>
      </c>
      <c r="H71" s="94">
        <v>0</v>
      </c>
      <c r="I71" s="103">
        <v>6500</v>
      </c>
      <c r="J71" s="107">
        <v>6500</v>
      </c>
      <c r="K71" s="107">
        <v>6500</v>
      </c>
      <c r="L71" s="85" t="s">
        <v>358</v>
      </c>
      <c r="M71" s="110">
        <v>0</v>
      </c>
    </row>
    <row r="72" spans="1:13" x14ac:dyDescent="0.25">
      <c r="A72" s="1">
        <f>A71+1</f>
        <v>70</v>
      </c>
      <c r="B72" s="1"/>
      <c r="C72" s="1"/>
      <c r="D72" s="70" t="s">
        <v>5</v>
      </c>
      <c r="E72" s="95"/>
      <c r="F72" s="96"/>
      <c r="G72" s="87"/>
      <c r="H72" s="93"/>
      <c r="I72" s="92"/>
      <c r="J72" s="91"/>
      <c r="K72" s="91"/>
      <c r="L72" s="85"/>
      <c r="M72" s="111"/>
    </row>
    <row r="73" spans="1:13" x14ac:dyDescent="0.25">
      <c r="B73" s="1"/>
      <c r="C73" s="4"/>
      <c r="D73" s="70" t="s">
        <v>5</v>
      </c>
      <c r="E73" s="95"/>
      <c r="F73" s="96"/>
      <c r="G73" s="87"/>
      <c r="H73" s="93"/>
      <c r="I73" s="92"/>
      <c r="J73" s="91"/>
      <c r="K73" s="91"/>
      <c r="L73" s="85"/>
      <c r="M73" s="111"/>
    </row>
    <row r="74" spans="1:13" x14ac:dyDescent="0.25">
      <c r="A74" s="1"/>
      <c r="B74" s="1"/>
      <c r="C74" s="4"/>
      <c r="D74" s="70" t="s">
        <v>5</v>
      </c>
      <c r="E74" s="95"/>
      <c r="F74" s="96"/>
      <c r="G74" s="87"/>
      <c r="H74" s="93"/>
      <c r="I74" s="92"/>
      <c r="J74" s="91"/>
      <c r="K74" s="91"/>
      <c r="L74" s="85"/>
      <c r="M74" s="111"/>
    </row>
    <row r="75" spans="1:13" x14ac:dyDescent="0.25">
      <c r="A75" s="129" t="s">
        <v>3</v>
      </c>
      <c r="B75" s="128" t="s">
        <v>0</v>
      </c>
      <c r="C75" s="128" t="s">
        <v>1</v>
      </c>
      <c r="D75" s="129" t="s">
        <v>2</v>
      </c>
      <c r="E75" s="129" t="s">
        <v>336</v>
      </c>
      <c r="F75" s="129" t="s">
        <v>337</v>
      </c>
      <c r="G75" s="128" t="s">
        <v>10</v>
      </c>
      <c r="H75" s="129" t="s">
        <v>356</v>
      </c>
      <c r="I75" s="129" t="s">
        <v>357</v>
      </c>
      <c r="J75" s="128" t="s">
        <v>11</v>
      </c>
      <c r="K75" s="129" t="s">
        <v>12</v>
      </c>
      <c r="L75" s="129" t="s">
        <v>355</v>
      </c>
      <c r="M75" s="130" t="s">
        <v>13</v>
      </c>
    </row>
    <row r="76" spans="1:13" x14ac:dyDescent="0.25">
      <c r="A76" s="1">
        <v>1</v>
      </c>
      <c r="B76" s="134" t="s">
        <v>102</v>
      </c>
      <c r="C76" s="135" t="s">
        <v>103</v>
      </c>
      <c r="D76" s="121" t="s">
        <v>334</v>
      </c>
      <c r="E76" s="123">
        <v>2610</v>
      </c>
      <c r="F76" s="123">
        <v>2610</v>
      </c>
      <c r="G76" s="125">
        <v>0</v>
      </c>
      <c r="H76" s="124">
        <v>0</v>
      </c>
      <c r="I76" s="124">
        <v>1500</v>
      </c>
      <c r="J76" s="126">
        <v>1500</v>
      </c>
      <c r="K76" s="127"/>
      <c r="L76" s="127"/>
      <c r="M76" s="126">
        <v>1500</v>
      </c>
    </row>
    <row r="77" spans="1:13" x14ac:dyDescent="0.25">
      <c r="A77" s="1">
        <f t="shared" ref="A77:A140" si="3">A76+1</f>
        <v>2</v>
      </c>
      <c r="B77" s="31" t="s">
        <v>104</v>
      </c>
      <c r="C77" s="58"/>
      <c r="D77" s="70" t="s">
        <v>334</v>
      </c>
      <c r="E77" s="96">
        <v>2732</v>
      </c>
      <c r="F77" s="96">
        <v>2738</v>
      </c>
      <c r="G77" s="87">
        <v>6</v>
      </c>
      <c r="H77" s="94">
        <v>13000</v>
      </c>
      <c r="I77" s="103">
        <v>7200</v>
      </c>
      <c r="J77" s="107">
        <v>20200</v>
      </c>
      <c r="K77" s="91"/>
      <c r="L77" s="85"/>
      <c r="M77" s="110">
        <v>20200</v>
      </c>
    </row>
    <row r="78" spans="1:13" x14ac:dyDescent="0.25">
      <c r="A78" s="1">
        <f t="shared" si="3"/>
        <v>3</v>
      </c>
      <c r="B78" s="31" t="s">
        <v>105</v>
      </c>
      <c r="C78" s="58" t="s">
        <v>106</v>
      </c>
      <c r="D78" s="70" t="s">
        <v>335</v>
      </c>
      <c r="E78" s="96">
        <v>470</v>
      </c>
      <c r="F78" s="96">
        <v>482</v>
      </c>
      <c r="G78" s="87">
        <v>12</v>
      </c>
      <c r="H78" s="94">
        <v>0</v>
      </c>
      <c r="I78" s="103">
        <v>11400</v>
      </c>
      <c r="J78" s="107">
        <v>11400</v>
      </c>
      <c r="K78" s="107">
        <v>11400</v>
      </c>
      <c r="L78" s="85" t="s">
        <v>358</v>
      </c>
      <c r="M78" s="110">
        <v>0</v>
      </c>
    </row>
    <row r="79" spans="1:13" x14ac:dyDescent="0.25">
      <c r="A79" s="1">
        <f t="shared" si="3"/>
        <v>4</v>
      </c>
      <c r="B79" s="31" t="s">
        <v>107</v>
      </c>
      <c r="C79" s="58"/>
      <c r="D79" s="70" t="s">
        <v>335</v>
      </c>
      <c r="E79" s="96">
        <v>2435</v>
      </c>
      <c r="F79" s="96">
        <v>2442</v>
      </c>
      <c r="G79" s="87">
        <v>7</v>
      </c>
      <c r="H79" s="94">
        <v>134300</v>
      </c>
      <c r="I79" s="103">
        <v>7900</v>
      </c>
      <c r="J79" s="107">
        <v>142200</v>
      </c>
      <c r="K79" s="91"/>
      <c r="L79" s="85"/>
      <c r="M79" s="110">
        <v>142200</v>
      </c>
    </row>
    <row r="80" spans="1:13" x14ac:dyDescent="0.25">
      <c r="A80" s="1">
        <f t="shared" si="3"/>
        <v>5</v>
      </c>
      <c r="B80" s="31" t="s">
        <v>108</v>
      </c>
      <c r="C80" s="58" t="s">
        <v>111</v>
      </c>
      <c r="D80" s="70" t="s">
        <v>334</v>
      </c>
      <c r="E80" s="96">
        <v>2381</v>
      </c>
      <c r="F80" s="96">
        <v>2388</v>
      </c>
      <c r="G80" s="87">
        <v>7</v>
      </c>
      <c r="H80" s="94">
        <v>0</v>
      </c>
      <c r="I80" s="103">
        <v>7900</v>
      </c>
      <c r="J80" s="107">
        <v>7900</v>
      </c>
      <c r="K80" s="107">
        <v>7900</v>
      </c>
      <c r="L80" s="85" t="s">
        <v>358</v>
      </c>
      <c r="M80" s="110">
        <v>0</v>
      </c>
    </row>
    <row r="81" spans="1:13" x14ac:dyDescent="0.25">
      <c r="A81" s="1">
        <f t="shared" si="3"/>
        <v>6</v>
      </c>
      <c r="B81" s="31" t="s">
        <v>109</v>
      </c>
      <c r="C81" s="58" t="s">
        <v>110</v>
      </c>
      <c r="D81" s="70" t="s">
        <v>334</v>
      </c>
      <c r="E81" s="96">
        <v>630</v>
      </c>
      <c r="F81" s="96">
        <v>644</v>
      </c>
      <c r="G81" s="87">
        <v>14</v>
      </c>
      <c r="H81" s="94">
        <v>0</v>
      </c>
      <c r="I81" s="103">
        <v>12800</v>
      </c>
      <c r="J81" s="107">
        <v>17800</v>
      </c>
      <c r="K81" s="91"/>
      <c r="L81" s="85"/>
      <c r="M81" s="110">
        <v>12800</v>
      </c>
    </row>
    <row r="82" spans="1:13" x14ac:dyDescent="0.25">
      <c r="A82" s="1">
        <f t="shared" si="3"/>
        <v>7</v>
      </c>
      <c r="B82" s="31" t="s">
        <v>112</v>
      </c>
      <c r="C82" s="58" t="s">
        <v>113</v>
      </c>
      <c r="D82" s="70" t="s">
        <v>335</v>
      </c>
      <c r="E82" s="96">
        <v>4</v>
      </c>
      <c r="F82" s="96">
        <v>4</v>
      </c>
      <c r="G82" s="87">
        <v>0</v>
      </c>
      <c r="H82" s="94">
        <v>15000</v>
      </c>
      <c r="I82" s="103">
        <v>3000</v>
      </c>
      <c r="J82" s="107">
        <v>18000</v>
      </c>
      <c r="K82" s="107">
        <v>18000</v>
      </c>
      <c r="L82" s="84" t="s">
        <v>358</v>
      </c>
      <c r="M82" s="110">
        <v>0</v>
      </c>
    </row>
    <row r="83" spans="1:13" x14ac:dyDescent="0.25">
      <c r="A83" s="1">
        <f t="shared" si="3"/>
        <v>8</v>
      </c>
      <c r="B83" s="31" t="s">
        <v>114</v>
      </c>
      <c r="C83" s="58" t="s">
        <v>115</v>
      </c>
      <c r="D83" s="70" t="s">
        <v>335</v>
      </c>
      <c r="E83" s="96">
        <v>370</v>
      </c>
      <c r="F83" s="96">
        <v>375</v>
      </c>
      <c r="G83" s="87">
        <v>5</v>
      </c>
      <c r="H83" s="94">
        <v>6500</v>
      </c>
      <c r="I83" s="103">
        <v>6500</v>
      </c>
      <c r="J83" s="107">
        <v>13000</v>
      </c>
      <c r="K83" s="91"/>
      <c r="L83" s="85"/>
      <c r="M83" s="110">
        <v>13000</v>
      </c>
    </row>
    <row r="84" spans="1:13" x14ac:dyDescent="0.25">
      <c r="A84" s="1">
        <f t="shared" si="3"/>
        <v>9</v>
      </c>
      <c r="B84" s="31" t="s">
        <v>116</v>
      </c>
      <c r="C84" s="58" t="s">
        <v>106</v>
      </c>
      <c r="D84" s="70" t="s">
        <v>334</v>
      </c>
      <c r="E84" s="96">
        <v>157</v>
      </c>
      <c r="F84" s="96">
        <v>166</v>
      </c>
      <c r="G84" s="87">
        <v>9</v>
      </c>
      <c r="H84" s="94">
        <v>7900</v>
      </c>
      <c r="I84" s="103">
        <v>9300</v>
      </c>
      <c r="J84" s="107">
        <v>17200</v>
      </c>
      <c r="K84" s="107">
        <v>17200</v>
      </c>
      <c r="L84" s="85" t="s">
        <v>358</v>
      </c>
      <c r="M84" s="110">
        <v>0</v>
      </c>
    </row>
    <row r="85" spans="1:13" x14ac:dyDescent="0.25">
      <c r="A85" s="1">
        <f t="shared" si="3"/>
        <v>10</v>
      </c>
      <c r="B85" s="31" t="s">
        <v>117</v>
      </c>
      <c r="C85" s="58" t="s">
        <v>118</v>
      </c>
      <c r="D85" s="70" t="s">
        <v>335</v>
      </c>
      <c r="E85" s="96">
        <v>1335</v>
      </c>
      <c r="F85" s="96">
        <v>1345</v>
      </c>
      <c r="G85" s="87">
        <v>10</v>
      </c>
      <c r="H85" s="94">
        <v>40700</v>
      </c>
      <c r="I85" s="103">
        <v>10000</v>
      </c>
      <c r="J85" s="107">
        <v>57700</v>
      </c>
      <c r="K85" s="107">
        <v>57700</v>
      </c>
      <c r="L85" s="85" t="s">
        <v>358</v>
      </c>
      <c r="M85" s="110">
        <v>0</v>
      </c>
    </row>
    <row r="86" spans="1:13" x14ac:dyDescent="0.25">
      <c r="A86" s="1">
        <f t="shared" si="3"/>
        <v>11</v>
      </c>
      <c r="B86" s="31" t="s">
        <v>119</v>
      </c>
      <c r="C86" s="58" t="s">
        <v>120</v>
      </c>
      <c r="D86" s="70" t="s">
        <v>335</v>
      </c>
      <c r="E86" s="96">
        <v>2840</v>
      </c>
      <c r="F86" s="96">
        <v>2866</v>
      </c>
      <c r="G86" s="87">
        <v>26</v>
      </c>
      <c r="H86" s="94">
        <v>65000</v>
      </c>
      <c r="I86" s="103">
        <v>21200</v>
      </c>
      <c r="J86" s="107">
        <v>56200</v>
      </c>
      <c r="K86" s="107">
        <v>40200</v>
      </c>
      <c r="L86" s="84" t="s">
        <v>359</v>
      </c>
      <c r="M86" s="110">
        <v>16000</v>
      </c>
    </row>
    <row r="87" spans="1:13" x14ac:dyDescent="0.25">
      <c r="A87" s="1">
        <f t="shared" si="3"/>
        <v>12</v>
      </c>
      <c r="B87" s="31" t="s">
        <v>121</v>
      </c>
      <c r="C87" s="58" t="s">
        <v>122</v>
      </c>
      <c r="D87" s="70" t="s">
        <v>335</v>
      </c>
      <c r="E87" s="96">
        <v>1935</v>
      </c>
      <c r="F87" s="96">
        <v>1935</v>
      </c>
      <c r="G87" s="87">
        <v>0</v>
      </c>
      <c r="H87" s="94">
        <v>86100</v>
      </c>
      <c r="I87" s="103">
        <v>3000</v>
      </c>
      <c r="J87" s="107">
        <v>89100</v>
      </c>
      <c r="K87" s="91"/>
      <c r="L87" s="85"/>
      <c r="M87" s="110">
        <v>89100</v>
      </c>
    </row>
    <row r="88" spans="1:13" x14ac:dyDescent="0.25">
      <c r="A88" s="1">
        <f t="shared" si="3"/>
        <v>13</v>
      </c>
      <c r="B88" s="31" t="s">
        <v>123</v>
      </c>
      <c r="C88" s="58" t="s">
        <v>124</v>
      </c>
      <c r="D88" s="70" t="s">
        <v>335</v>
      </c>
      <c r="E88" s="96"/>
      <c r="F88" s="96"/>
      <c r="G88" s="87"/>
      <c r="H88" s="93"/>
      <c r="I88" s="92"/>
      <c r="J88" s="91"/>
      <c r="K88" s="91"/>
      <c r="L88" s="85"/>
      <c r="M88" s="111"/>
    </row>
    <row r="89" spans="1:13" x14ac:dyDescent="0.25">
      <c r="A89" s="1">
        <f t="shared" si="3"/>
        <v>14</v>
      </c>
      <c r="B89" s="31" t="s">
        <v>125</v>
      </c>
      <c r="C89" s="58" t="s">
        <v>126</v>
      </c>
      <c r="D89" s="70" t="s">
        <v>335</v>
      </c>
      <c r="E89" s="96">
        <v>3130</v>
      </c>
      <c r="F89" s="96">
        <v>3144</v>
      </c>
      <c r="G89" s="87">
        <v>14</v>
      </c>
      <c r="H89" s="94">
        <v>24000</v>
      </c>
      <c r="I89" s="103">
        <v>12800</v>
      </c>
      <c r="J89" s="107">
        <v>36800</v>
      </c>
      <c r="K89" s="91"/>
      <c r="L89" s="85"/>
      <c r="M89" s="110">
        <v>36800</v>
      </c>
    </row>
    <row r="90" spans="1:13" x14ac:dyDescent="0.25">
      <c r="A90" s="1">
        <f t="shared" si="3"/>
        <v>15</v>
      </c>
      <c r="B90" s="31" t="s">
        <v>127</v>
      </c>
      <c r="C90" s="58" t="s">
        <v>128</v>
      </c>
      <c r="D90" s="70" t="s">
        <v>335</v>
      </c>
      <c r="E90" s="96">
        <v>1768</v>
      </c>
      <c r="F90" s="96">
        <v>1768</v>
      </c>
      <c r="G90" s="87">
        <v>0</v>
      </c>
      <c r="H90" s="94">
        <v>3000</v>
      </c>
      <c r="I90" s="103">
        <v>3000</v>
      </c>
      <c r="J90" s="107">
        <v>6000</v>
      </c>
      <c r="K90" s="107">
        <v>6000</v>
      </c>
      <c r="L90" s="85" t="s">
        <v>358</v>
      </c>
      <c r="M90" s="110">
        <v>0</v>
      </c>
    </row>
    <row r="91" spans="1:13" x14ac:dyDescent="0.25">
      <c r="A91" s="1">
        <f t="shared" si="3"/>
        <v>16</v>
      </c>
      <c r="B91" s="31" t="s">
        <v>129</v>
      </c>
      <c r="C91" s="58" t="s">
        <v>130</v>
      </c>
      <c r="D91" s="70" t="s">
        <v>335</v>
      </c>
      <c r="E91" s="96">
        <v>2355</v>
      </c>
      <c r="F91" s="96">
        <v>2366</v>
      </c>
      <c r="G91" s="87">
        <v>11</v>
      </c>
      <c r="H91" s="94">
        <v>0</v>
      </c>
      <c r="I91" s="103">
        <v>10700</v>
      </c>
      <c r="J91" s="107">
        <v>10700</v>
      </c>
      <c r="K91" s="107">
        <v>10700</v>
      </c>
      <c r="L91" s="85"/>
      <c r="M91" s="110">
        <v>0</v>
      </c>
    </row>
    <row r="92" spans="1:13" x14ac:dyDescent="0.25">
      <c r="A92" s="1">
        <f t="shared" si="3"/>
        <v>17</v>
      </c>
      <c r="B92" s="31" t="s">
        <v>131</v>
      </c>
      <c r="C92" s="58" t="s">
        <v>132</v>
      </c>
      <c r="D92" s="70" t="s">
        <v>335</v>
      </c>
      <c r="E92" s="96">
        <v>159</v>
      </c>
      <c r="F92" s="96">
        <v>161</v>
      </c>
      <c r="G92" s="87">
        <v>2</v>
      </c>
      <c r="H92" s="94">
        <v>0</v>
      </c>
      <c r="I92" s="103">
        <v>4400</v>
      </c>
      <c r="J92" s="107">
        <v>4400</v>
      </c>
      <c r="K92" s="107">
        <v>4400</v>
      </c>
      <c r="L92" s="85" t="s">
        <v>359</v>
      </c>
      <c r="M92" s="110">
        <v>0</v>
      </c>
    </row>
    <row r="93" spans="1:13" x14ac:dyDescent="0.25">
      <c r="A93" s="1">
        <f t="shared" si="3"/>
        <v>18</v>
      </c>
      <c r="B93" s="31" t="s">
        <v>133</v>
      </c>
      <c r="C93" s="58" t="s">
        <v>134</v>
      </c>
      <c r="D93" s="70" t="s">
        <v>335</v>
      </c>
      <c r="E93" s="96">
        <v>1496</v>
      </c>
      <c r="F93" s="96">
        <v>1510</v>
      </c>
      <c r="G93" s="87">
        <v>14</v>
      </c>
      <c r="H93" s="94">
        <v>0</v>
      </c>
      <c r="I93" s="103">
        <v>12800</v>
      </c>
      <c r="J93" s="107">
        <v>12800</v>
      </c>
      <c r="K93" s="91"/>
      <c r="L93" s="85"/>
      <c r="M93" s="110">
        <v>12800</v>
      </c>
    </row>
    <row r="94" spans="1:13" x14ac:dyDescent="0.25">
      <c r="A94" s="1">
        <f t="shared" si="3"/>
        <v>19</v>
      </c>
      <c r="B94" s="31" t="s">
        <v>135</v>
      </c>
      <c r="C94" s="58" t="s">
        <v>136</v>
      </c>
      <c r="D94" s="70" t="s">
        <v>335</v>
      </c>
      <c r="E94" s="96">
        <v>343</v>
      </c>
      <c r="F94" s="96">
        <v>343</v>
      </c>
      <c r="G94" s="87">
        <v>0</v>
      </c>
      <c r="H94" s="94">
        <v>30100</v>
      </c>
      <c r="I94" s="103">
        <v>3000</v>
      </c>
      <c r="J94" s="107">
        <v>33100</v>
      </c>
      <c r="K94" s="107">
        <v>33100</v>
      </c>
      <c r="L94" s="85" t="s">
        <v>359</v>
      </c>
      <c r="M94" s="110">
        <v>0</v>
      </c>
    </row>
    <row r="95" spans="1:13" x14ac:dyDescent="0.25">
      <c r="A95" s="1">
        <f t="shared" si="3"/>
        <v>20</v>
      </c>
      <c r="B95" s="31" t="s">
        <v>137</v>
      </c>
      <c r="C95" s="58" t="s">
        <v>138</v>
      </c>
      <c r="D95" s="70" t="s">
        <v>335</v>
      </c>
      <c r="E95" s="96">
        <v>2297</v>
      </c>
      <c r="F95" s="96">
        <v>2304</v>
      </c>
      <c r="G95" s="87">
        <v>7</v>
      </c>
      <c r="H95" s="94">
        <v>24400</v>
      </c>
      <c r="I95" s="103">
        <v>7900</v>
      </c>
      <c r="J95" s="107">
        <v>32300</v>
      </c>
      <c r="K95" s="107">
        <v>32300</v>
      </c>
      <c r="L95" s="85" t="s">
        <v>359</v>
      </c>
      <c r="M95" s="110">
        <v>0</v>
      </c>
    </row>
    <row r="96" spans="1:13" x14ac:dyDescent="0.25">
      <c r="A96" s="1">
        <f t="shared" si="3"/>
        <v>21</v>
      </c>
      <c r="B96" s="31" t="s">
        <v>139</v>
      </c>
      <c r="C96" s="58" t="s">
        <v>140</v>
      </c>
      <c r="D96" s="70" t="s">
        <v>335</v>
      </c>
      <c r="E96" s="96">
        <v>1</v>
      </c>
      <c r="F96" s="96">
        <v>1</v>
      </c>
      <c r="G96" s="87">
        <v>0</v>
      </c>
      <c r="H96" s="94">
        <v>0</v>
      </c>
      <c r="I96" s="103">
        <v>3000</v>
      </c>
      <c r="J96" s="107">
        <v>3000</v>
      </c>
      <c r="K96" s="107">
        <v>3000</v>
      </c>
      <c r="L96" s="85"/>
      <c r="M96" s="110">
        <v>0</v>
      </c>
    </row>
    <row r="97" spans="1:13" x14ac:dyDescent="0.25">
      <c r="A97" s="1">
        <f t="shared" si="3"/>
        <v>22</v>
      </c>
      <c r="B97" s="31" t="s">
        <v>141</v>
      </c>
      <c r="C97" s="58" t="s">
        <v>142</v>
      </c>
      <c r="D97" s="70" t="s">
        <v>335</v>
      </c>
      <c r="E97" s="96">
        <v>147</v>
      </c>
      <c r="F97" s="96">
        <v>147</v>
      </c>
      <c r="G97" s="87">
        <v>0</v>
      </c>
      <c r="H97" s="94">
        <v>3000</v>
      </c>
      <c r="I97" s="103">
        <v>3000</v>
      </c>
      <c r="J97" s="107">
        <v>6000</v>
      </c>
      <c r="K97" s="107">
        <v>6000</v>
      </c>
      <c r="L97" s="85"/>
      <c r="M97" s="110">
        <v>0</v>
      </c>
    </row>
    <row r="98" spans="1:13" x14ac:dyDescent="0.25">
      <c r="A98" s="1">
        <f t="shared" si="3"/>
        <v>23</v>
      </c>
      <c r="B98" s="31" t="s">
        <v>143</v>
      </c>
      <c r="C98" s="58" t="s">
        <v>144</v>
      </c>
      <c r="D98" s="70" t="s">
        <v>335</v>
      </c>
      <c r="E98" s="96">
        <v>0</v>
      </c>
      <c r="F98" s="96">
        <v>0</v>
      </c>
      <c r="G98" s="87">
        <v>0</v>
      </c>
      <c r="H98" s="93">
        <v>40</v>
      </c>
      <c r="I98" s="103">
        <v>3000</v>
      </c>
      <c r="J98" s="107">
        <v>3000</v>
      </c>
      <c r="K98" s="91"/>
      <c r="L98" s="85"/>
      <c r="M98" s="110">
        <v>3000</v>
      </c>
    </row>
    <row r="99" spans="1:13" x14ac:dyDescent="0.25">
      <c r="A99" s="1">
        <f t="shared" si="3"/>
        <v>24</v>
      </c>
      <c r="B99" s="134" t="s">
        <v>145</v>
      </c>
      <c r="C99" s="135" t="s">
        <v>146</v>
      </c>
      <c r="D99" s="121" t="s">
        <v>335</v>
      </c>
      <c r="E99" s="123">
        <v>2279</v>
      </c>
      <c r="F99" s="123">
        <v>2300</v>
      </c>
      <c r="G99" s="125">
        <v>21</v>
      </c>
      <c r="H99" s="124">
        <v>0</v>
      </c>
      <c r="I99" s="124">
        <v>10950</v>
      </c>
      <c r="J99" s="126">
        <v>10950</v>
      </c>
      <c r="K99" s="126">
        <v>10950</v>
      </c>
      <c r="L99" s="127"/>
      <c r="M99" s="126">
        <v>0</v>
      </c>
    </row>
    <row r="100" spans="1:13" x14ac:dyDescent="0.25">
      <c r="A100" s="1">
        <f t="shared" si="3"/>
        <v>25</v>
      </c>
      <c r="B100" s="134" t="s">
        <v>147</v>
      </c>
      <c r="C100" s="135" t="s">
        <v>148</v>
      </c>
      <c r="D100" s="121" t="s">
        <v>335</v>
      </c>
      <c r="E100" s="123">
        <v>2152</v>
      </c>
      <c r="F100" s="123">
        <v>2163</v>
      </c>
      <c r="G100" s="125">
        <v>11</v>
      </c>
      <c r="H100" s="124">
        <v>0</v>
      </c>
      <c r="I100" s="124">
        <v>5350</v>
      </c>
      <c r="J100" s="126">
        <v>5350</v>
      </c>
      <c r="K100" s="126">
        <v>5350</v>
      </c>
      <c r="L100" s="127" t="s">
        <v>358</v>
      </c>
      <c r="M100" s="126">
        <v>0</v>
      </c>
    </row>
    <row r="101" spans="1:13" x14ac:dyDescent="0.25">
      <c r="A101" s="1">
        <f t="shared" si="3"/>
        <v>26</v>
      </c>
      <c r="B101" s="31" t="s">
        <v>149</v>
      </c>
      <c r="C101" s="58" t="s">
        <v>150</v>
      </c>
      <c r="D101" s="70" t="s">
        <v>335</v>
      </c>
      <c r="E101" s="96">
        <v>89</v>
      </c>
      <c r="F101" s="96">
        <v>91</v>
      </c>
      <c r="G101" s="87">
        <v>2</v>
      </c>
      <c r="H101" s="94">
        <v>0</v>
      </c>
      <c r="I101" s="103">
        <v>4400</v>
      </c>
      <c r="J101" s="107">
        <v>4400</v>
      </c>
      <c r="K101" s="91"/>
      <c r="L101" s="85"/>
      <c r="M101" s="110">
        <v>4400</v>
      </c>
    </row>
    <row r="102" spans="1:13" x14ac:dyDescent="0.25">
      <c r="A102" s="1">
        <f t="shared" si="3"/>
        <v>27</v>
      </c>
      <c r="B102" s="31" t="s">
        <v>151</v>
      </c>
      <c r="C102" s="58" t="s">
        <v>152</v>
      </c>
      <c r="D102" s="70" t="s">
        <v>335</v>
      </c>
      <c r="E102" s="96">
        <v>857</v>
      </c>
      <c r="F102" s="96">
        <v>861</v>
      </c>
      <c r="G102" s="87">
        <v>4</v>
      </c>
      <c r="H102" s="94">
        <v>0</v>
      </c>
      <c r="I102" s="103">
        <v>5800</v>
      </c>
      <c r="J102" s="107">
        <v>5800</v>
      </c>
      <c r="K102" s="91"/>
      <c r="L102" s="85"/>
      <c r="M102" s="110">
        <v>5800</v>
      </c>
    </row>
    <row r="103" spans="1:13" x14ac:dyDescent="0.25">
      <c r="A103" s="1">
        <f t="shared" si="3"/>
        <v>28</v>
      </c>
      <c r="B103" s="31" t="s">
        <v>153</v>
      </c>
      <c r="C103" s="58" t="s">
        <v>154</v>
      </c>
      <c r="D103" s="70" t="s">
        <v>335</v>
      </c>
      <c r="E103" s="96">
        <v>225</v>
      </c>
      <c r="F103" s="96">
        <v>225</v>
      </c>
      <c r="G103" s="87">
        <v>0</v>
      </c>
      <c r="H103" s="94">
        <v>0</v>
      </c>
      <c r="I103" s="103">
        <v>3000</v>
      </c>
      <c r="J103" s="107">
        <v>3000</v>
      </c>
      <c r="K103" s="107">
        <v>3000</v>
      </c>
      <c r="L103" s="85"/>
      <c r="M103" s="110">
        <v>0</v>
      </c>
    </row>
    <row r="104" spans="1:13" x14ac:dyDescent="0.25">
      <c r="A104" s="1">
        <f t="shared" si="3"/>
        <v>29</v>
      </c>
      <c r="B104" s="31" t="s">
        <v>155</v>
      </c>
      <c r="C104" s="58" t="s">
        <v>156</v>
      </c>
      <c r="D104" s="70" t="s">
        <v>335</v>
      </c>
      <c r="E104" s="96">
        <v>2315</v>
      </c>
      <c r="F104" s="96">
        <v>2316</v>
      </c>
      <c r="G104" s="87">
        <v>1</v>
      </c>
      <c r="H104" s="94">
        <v>0</v>
      </c>
      <c r="I104" s="103">
        <v>3700</v>
      </c>
      <c r="J104" s="107">
        <v>3700</v>
      </c>
      <c r="K104" s="107">
        <v>3700</v>
      </c>
      <c r="L104" s="85"/>
      <c r="M104" s="110">
        <v>0</v>
      </c>
    </row>
    <row r="105" spans="1:13" x14ac:dyDescent="0.25">
      <c r="A105" s="1">
        <f t="shared" si="3"/>
        <v>30</v>
      </c>
      <c r="B105" s="31" t="s">
        <v>157</v>
      </c>
      <c r="C105" s="58" t="s">
        <v>158</v>
      </c>
      <c r="D105" s="70" t="s">
        <v>335</v>
      </c>
      <c r="E105" s="96">
        <v>1137</v>
      </c>
      <c r="F105" s="96">
        <v>1147</v>
      </c>
      <c r="G105" s="87">
        <v>10</v>
      </c>
      <c r="H105" s="94">
        <v>0</v>
      </c>
      <c r="I105" s="103">
        <v>10000</v>
      </c>
      <c r="J105" s="107">
        <v>10000</v>
      </c>
      <c r="K105" s="107">
        <v>10000</v>
      </c>
      <c r="L105" s="84"/>
      <c r="M105" s="110">
        <v>0</v>
      </c>
    </row>
    <row r="106" spans="1:13" x14ac:dyDescent="0.25">
      <c r="A106" s="1">
        <f t="shared" si="3"/>
        <v>31</v>
      </c>
      <c r="B106" s="31" t="s">
        <v>159</v>
      </c>
      <c r="C106" s="58" t="s">
        <v>160</v>
      </c>
      <c r="D106" s="70" t="s">
        <v>335</v>
      </c>
      <c r="E106" s="96">
        <v>1358</v>
      </c>
      <c r="F106" s="96">
        <v>1365</v>
      </c>
      <c r="G106" s="87">
        <v>7</v>
      </c>
      <c r="H106" s="94">
        <v>0</v>
      </c>
      <c r="I106" s="103">
        <v>7900</v>
      </c>
      <c r="J106" s="107">
        <v>7900</v>
      </c>
      <c r="K106" s="107">
        <v>7900</v>
      </c>
      <c r="L106" s="85"/>
      <c r="M106" s="110">
        <v>0</v>
      </c>
    </row>
    <row r="107" spans="1:13" x14ac:dyDescent="0.25">
      <c r="A107" s="1">
        <f t="shared" si="3"/>
        <v>32</v>
      </c>
      <c r="B107" s="31" t="s">
        <v>161</v>
      </c>
      <c r="C107" s="58" t="s">
        <v>162</v>
      </c>
      <c r="D107" s="70" t="s">
        <v>335</v>
      </c>
      <c r="E107" s="96">
        <v>1251</v>
      </c>
      <c r="F107" s="96">
        <v>1257</v>
      </c>
      <c r="G107" s="87">
        <v>6</v>
      </c>
      <c r="H107" s="94">
        <v>0</v>
      </c>
      <c r="I107" s="103">
        <v>7200</v>
      </c>
      <c r="J107" s="107">
        <v>7200</v>
      </c>
      <c r="K107" s="107">
        <v>7200</v>
      </c>
      <c r="L107" s="85" t="s">
        <v>359</v>
      </c>
      <c r="M107" s="110">
        <v>0</v>
      </c>
    </row>
    <row r="108" spans="1:13" x14ac:dyDescent="0.25">
      <c r="A108" s="1">
        <f t="shared" si="3"/>
        <v>33</v>
      </c>
      <c r="B108" s="134" t="s">
        <v>163</v>
      </c>
      <c r="C108" s="135" t="s">
        <v>164</v>
      </c>
      <c r="D108" s="121" t="s">
        <v>335</v>
      </c>
      <c r="E108" s="123">
        <v>2458</v>
      </c>
      <c r="F108" s="123">
        <v>2469</v>
      </c>
      <c r="G108" s="125">
        <v>11</v>
      </c>
      <c r="H108" s="124">
        <v>8150</v>
      </c>
      <c r="I108" s="124">
        <v>5350</v>
      </c>
      <c r="J108" s="126">
        <v>13500</v>
      </c>
      <c r="K108" s="126">
        <v>13500</v>
      </c>
      <c r="L108" s="126"/>
      <c r="M108" s="126">
        <v>0</v>
      </c>
    </row>
    <row r="109" spans="1:13" x14ac:dyDescent="0.25">
      <c r="A109" s="1">
        <f t="shared" si="3"/>
        <v>34</v>
      </c>
      <c r="B109" s="31" t="s">
        <v>165</v>
      </c>
      <c r="C109" s="58" t="s">
        <v>166</v>
      </c>
      <c r="D109" s="70" t="s">
        <v>335</v>
      </c>
      <c r="E109" s="96">
        <v>1110</v>
      </c>
      <c r="F109" s="96">
        <v>1116</v>
      </c>
      <c r="G109" s="87">
        <v>6</v>
      </c>
      <c r="H109" s="94">
        <v>0</v>
      </c>
      <c r="I109" s="103">
        <v>7200</v>
      </c>
      <c r="J109" s="107">
        <v>7200</v>
      </c>
      <c r="K109" s="107">
        <v>7200</v>
      </c>
      <c r="L109" s="85"/>
      <c r="M109" s="110">
        <v>0</v>
      </c>
    </row>
    <row r="110" spans="1:13" x14ac:dyDescent="0.25">
      <c r="A110" s="1">
        <f t="shared" si="3"/>
        <v>35</v>
      </c>
      <c r="B110" s="31" t="s">
        <v>167</v>
      </c>
      <c r="C110" s="58" t="s">
        <v>168</v>
      </c>
      <c r="D110" s="70" t="s">
        <v>335</v>
      </c>
      <c r="E110" s="96">
        <v>102</v>
      </c>
      <c r="F110" s="96">
        <v>103</v>
      </c>
      <c r="G110" s="87">
        <v>1</v>
      </c>
      <c r="H110" s="94">
        <v>6700</v>
      </c>
      <c r="I110" s="103">
        <v>3700</v>
      </c>
      <c r="J110" s="107">
        <v>10400</v>
      </c>
      <c r="K110" s="91"/>
      <c r="L110" s="85"/>
      <c r="M110" s="110">
        <v>10400</v>
      </c>
    </row>
    <row r="111" spans="1:13" x14ac:dyDescent="0.25">
      <c r="A111" s="1">
        <f t="shared" si="3"/>
        <v>36</v>
      </c>
      <c r="B111" s="31" t="s">
        <v>169</v>
      </c>
      <c r="C111" s="58" t="s">
        <v>170</v>
      </c>
      <c r="D111" s="70" t="s">
        <v>335</v>
      </c>
      <c r="E111" s="96">
        <v>2630</v>
      </c>
      <c r="F111" s="96">
        <v>2650</v>
      </c>
      <c r="G111" s="87">
        <v>20</v>
      </c>
      <c r="H111" s="94">
        <v>209400</v>
      </c>
      <c r="I111" s="103">
        <v>17000</v>
      </c>
      <c r="J111" s="107">
        <v>226400</v>
      </c>
      <c r="K111" s="107">
        <v>226400</v>
      </c>
      <c r="L111" s="84" t="s">
        <v>358</v>
      </c>
      <c r="M111" s="110">
        <v>0</v>
      </c>
    </row>
    <row r="112" spans="1:13" x14ac:dyDescent="0.25">
      <c r="A112" s="1">
        <f t="shared" si="3"/>
        <v>37</v>
      </c>
      <c r="B112" s="31" t="s">
        <v>171</v>
      </c>
      <c r="C112" s="58" t="s">
        <v>172</v>
      </c>
      <c r="D112" s="70" t="s">
        <v>335</v>
      </c>
      <c r="E112" s="96">
        <v>3594</v>
      </c>
      <c r="F112" s="96">
        <v>3640</v>
      </c>
      <c r="G112" s="87">
        <v>41</v>
      </c>
      <c r="H112" s="94">
        <v>0</v>
      </c>
      <c r="I112" s="103">
        <v>24950</v>
      </c>
      <c r="J112" s="107">
        <v>24950</v>
      </c>
      <c r="K112" s="107">
        <v>24950</v>
      </c>
      <c r="L112" s="85"/>
      <c r="M112" s="110">
        <v>0</v>
      </c>
    </row>
    <row r="113" spans="1:13" x14ac:dyDescent="0.25">
      <c r="A113" s="1">
        <f t="shared" si="3"/>
        <v>38</v>
      </c>
      <c r="B113" s="31" t="s">
        <v>173</v>
      </c>
      <c r="C113" s="58" t="s">
        <v>174</v>
      </c>
      <c r="D113" s="70" t="s">
        <v>335</v>
      </c>
      <c r="E113" s="96">
        <v>4320</v>
      </c>
      <c r="F113" s="96">
        <v>4370</v>
      </c>
      <c r="G113" s="87">
        <v>50</v>
      </c>
      <c r="H113" s="94">
        <v>0</v>
      </c>
      <c r="I113" s="103">
        <v>38000</v>
      </c>
      <c r="J113" s="107">
        <v>38000</v>
      </c>
      <c r="K113" s="91"/>
      <c r="L113" s="85"/>
      <c r="M113" s="110">
        <v>38000</v>
      </c>
    </row>
    <row r="114" spans="1:13" x14ac:dyDescent="0.25">
      <c r="A114" s="1">
        <f t="shared" si="3"/>
        <v>39</v>
      </c>
      <c r="B114" s="31" t="s">
        <v>175</v>
      </c>
      <c r="C114" s="58" t="s">
        <v>176</v>
      </c>
      <c r="D114" s="70" t="s">
        <v>335</v>
      </c>
      <c r="E114" s="96">
        <v>1070</v>
      </c>
      <c r="F114" s="96">
        <v>1085</v>
      </c>
      <c r="G114" s="87">
        <v>15</v>
      </c>
      <c r="H114" s="94">
        <v>81000</v>
      </c>
      <c r="I114" s="103">
        <v>13500</v>
      </c>
      <c r="J114" s="107">
        <v>94500</v>
      </c>
      <c r="K114" s="91"/>
      <c r="L114" s="85"/>
      <c r="M114" s="110">
        <v>94500</v>
      </c>
    </row>
    <row r="115" spans="1:13" x14ac:dyDescent="0.25">
      <c r="A115" s="1">
        <f t="shared" si="3"/>
        <v>40</v>
      </c>
      <c r="B115" s="31" t="s">
        <v>177</v>
      </c>
      <c r="C115" s="58" t="s">
        <v>178</v>
      </c>
      <c r="D115" s="70" t="s">
        <v>335</v>
      </c>
      <c r="E115" s="96">
        <v>88</v>
      </c>
      <c r="F115" s="96">
        <v>88</v>
      </c>
      <c r="G115" s="87">
        <v>0</v>
      </c>
      <c r="H115" s="94">
        <v>0</v>
      </c>
      <c r="I115" s="103">
        <v>3000</v>
      </c>
      <c r="J115" s="107">
        <v>3000</v>
      </c>
      <c r="K115" s="107">
        <v>3000</v>
      </c>
      <c r="L115" s="85" t="s">
        <v>358</v>
      </c>
      <c r="M115" s="110">
        <v>0</v>
      </c>
    </row>
    <row r="116" spans="1:13" x14ac:dyDescent="0.25">
      <c r="A116" s="88">
        <f t="shared" si="3"/>
        <v>41</v>
      </c>
      <c r="B116" s="136" t="s">
        <v>179</v>
      </c>
      <c r="C116" s="137" t="s">
        <v>180</v>
      </c>
      <c r="D116" s="117" t="s">
        <v>335</v>
      </c>
      <c r="E116" s="96">
        <v>1858</v>
      </c>
      <c r="F116" s="96">
        <v>1879</v>
      </c>
      <c r="G116" s="87">
        <v>21</v>
      </c>
      <c r="H116" s="94">
        <v>0</v>
      </c>
      <c r="I116" s="103">
        <v>17700</v>
      </c>
      <c r="J116" s="107">
        <v>17700</v>
      </c>
      <c r="K116" s="107">
        <v>17700</v>
      </c>
      <c r="L116" s="118" t="s">
        <v>359</v>
      </c>
      <c r="M116" s="110">
        <v>0</v>
      </c>
    </row>
    <row r="117" spans="1:13" x14ac:dyDescent="0.25">
      <c r="A117" s="1">
        <f t="shared" si="3"/>
        <v>42</v>
      </c>
      <c r="B117" s="31" t="s">
        <v>181</v>
      </c>
      <c r="C117" s="58" t="s">
        <v>182</v>
      </c>
      <c r="D117" s="70" t="s">
        <v>335</v>
      </c>
      <c r="E117" s="96">
        <v>1689</v>
      </c>
      <c r="F117" s="96">
        <v>1718</v>
      </c>
      <c r="G117" s="87">
        <v>29</v>
      </c>
      <c r="H117" s="94">
        <v>23300</v>
      </c>
      <c r="I117" s="103">
        <v>23300</v>
      </c>
      <c r="J117" s="107">
        <v>46600</v>
      </c>
      <c r="K117" s="107">
        <v>46600</v>
      </c>
      <c r="L117" s="85" t="s">
        <v>358</v>
      </c>
      <c r="M117" s="110">
        <v>0</v>
      </c>
    </row>
    <row r="118" spans="1:13" x14ac:dyDescent="0.25">
      <c r="A118" s="1">
        <f t="shared" si="3"/>
        <v>43</v>
      </c>
      <c r="B118" s="31" t="s">
        <v>183</v>
      </c>
      <c r="C118" s="58" t="s">
        <v>184</v>
      </c>
      <c r="D118" s="70" t="s">
        <v>335</v>
      </c>
      <c r="E118" s="96">
        <v>282</v>
      </c>
      <c r="F118" s="96">
        <v>291</v>
      </c>
      <c r="G118" s="87">
        <v>9</v>
      </c>
      <c r="H118" s="94">
        <v>0</v>
      </c>
      <c r="I118" s="103">
        <v>9300</v>
      </c>
      <c r="J118" s="107">
        <v>9300</v>
      </c>
      <c r="K118" s="107">
        <v>9300</v>
      </c>
      <c r="L118" s="85" t="s">
        <v>358</v>
      </c>
      <c r="M118" s="110">
        <v>0</v>
      </c>
    </row>
    <row r="119" spans="1:13" x14ac:dyDescent="0.25">
      <c r="A119" s="1">
        <f t="shared" si="3"/>
        <v>44</v>
      </c>
      <c r="B119" s="31" t="s">
        <v>185</v>
      </c>
      <c r="C119" s="58" t="s">
        <v>186</v>
      </c>
      <c r="D119" s="70" t="s">
        <v>335</v>
      </c>
      <c r="E119" s="96">
        <v>2350</v>
      </c>
      <c r="F119" s="96">
        <v>2362</v>
      </c>
      <c r="G119" s="87">
        <v>12</v>
      </c>
      <c r="H119" s="94">
        <v>37500</v>
      </c>
      <c r="I119" s="103">
        <v>11400</v>
      </c>
      <c r="J119" s="107">
        <v>48900</v>
      </c>
      <c r="K119" s="91"/>
      <c r="L119" s="85"/>
      <c r="M119" s="110">
        <v>48900</v>
      </c>
    </row>
    <row r="120" spans="1:13" x14ac:dyDescent="0.25">
      <c r="A120" s="1">
        <f t="shared" si="3"/>
        <v>45</v>
      </c>
      <c r="B120" s="31" t="s">
        <v>187</v>
      </c>
      <c r="C120" s="58" t="s">
        <v>188</v>
      </c>
      <c r="D120" s="70" t="s">
        <v>335</v>
      </c>
      <c r="E120" s="96">
        <v>3540</v>
      </c>
      <c r="F120" s="96">
        <v>3550</v>
      </c>
      <c r="G120" s="87">
        <v>10</v>
      </c>
      <c r="H120" s="94">
        <v>0</v>
      </c>
      <c r="I120" s="103">
        <v>10000</v>
      </c>
      <c r="J120" s="107">
        <v>10000</v>
      </c>
      <c r="K120" s="107">
        <v>10000</v>
      </c>
      <c r="L120" s="85" t="s">
        <v>358</v>
      </c>
      <c r="M120" s="110">
        <v>0</v>
      </c>
    </row>
    <row r="121" spans="1:13" x14ac:dyDescent="0.25">
      <c r="A121" s="1">
        <f t="shared" si="3"/>
        <v>46</v>
      </c>
      <c r="B121" s="31" t="s">
        <v>189</v>
      </c>
      <c r="C121" s="58" t="s">
        <v>190</v>
      </c>
      <c r="D121" s="70" t="s">
        <v>335</v>
      </c>
      <c r="E121" s="96">
        <v>17</v>
      </c>
      <c r="F121" s="96">
        <v>18</v>
      </c>
      <c r="G121" s="87">
        <v>1</v>
      </c>
      <c r="H121" s="94">
        <v>3000</v>
      </c>
      <c r="I121" s="103">
        <v>3700</v>
      </c>
      <c r="J121" s="107">
        <v>6700</v>
      </c>
      <c r="K121" s="91"/>
      <c r="L121" s="85"/>
      <c r="M121" s="110">
        <v>6700</v>
      </c>
    </row>
    <row r="122" spans="1:13" x14ac:dyDescent="0.25">
      <c r="A122" s="1">
        <f t="shared" si="3"/>
        <v>47</v>
      </c>
      <c r="B122" s="134" t="s">
        <v>191</v>
      </c>
      <c r="C122" s="135" t="s">
        <v>192</v>
      </c>
      <c r="D122" s="121" t="s">
        <v>335</v>
      </c>
      <c r="E122" s="123">
        <v>2562</v>
      </c>
      <c r="F122" s="123">
        <v>2582</v>
      </c>
      <c r="G122" s="125">
        <v>20</v>
      </c>
      <c r="H122" s="124">
        <v>0</v>
      </c>
      <c r="I122" s="124">
        <v>10250</v>
      </c>
      <c r="J122" s="126">
        <v>10250</v>
      </c>
      <c r="K122" s="126">
        <v>10250</v>
      </c>
      <c r="L122" s="127" t="s">
        <v>358</v>
      </c>
      <c r="M122" s="126">
        <v>0</v>
      </c>
    </row>
    <row r="123" spans="1:13" x14ac:dyDescent="0.25">
      <c r="A123" s="1">
        <f t="shared" si="3"/>
        <v>48</v>
      </c>
      <c r="B123" s="31" t="s">
        <v>193</v>
      </c>
      <c r="C123" s="58" t="s">
        <v>194</v>
      </c>
      <c r="D123" s="70" t="s">
        <v>335</v>
      </c>
      <c r="E123" s="96">
        <v>3208</v>
      </c>
      <c r="F123" s="96">
        <v>3229</v>
      </c>
      <c r="G123" s="87">
        <v>21</v>
      </c>
      <c r="H123" s="94">
        <v>0</v>
      </c>
      <c r="I123" s="103">
        <v>17700</v>
      </c>
      <c r="J123" s="107">
        <v>17700</v>
      </c>
      <c r="K123" s="107">
        <v>17700</v>
      </c>
      <c r="L123" s="85" t="s">
        <v>359</v>
      </c>
      <c r="M123" s="110">
        <v>0</v>
      </c>
    </row>
    <row r="124" spans="1:13" x14ac:dyDescent="0.25">
      <c r="A124" s="1">
        <f t="shared" si="3"/>
        <v>49</v>
      </c>
      <c r="B124" s="31" t="s">
        <v>195</v>
      </c>
      <c r="C124" s="58" t="s">
        <v>196</v>
      </c>
      <c r="D124" s="70" t="s">
        <v>335</v>
      </c>
      <c r="E124" s="96">
        <v>2600</v>
      </c>
      <c r="F124" s="96">
        <v>2606</v>
      </c>
      <c r="G124" s="87">
        <v>6</v>
      </c>
      <c r="H124" s="94">
        <v>0</v>
      </c>
      <c r="I124" s="103">
        <v>3600</v>
      </c>
      <c r="J124" s="107">
        <v>3600</v>
      </c>
      <c r="K124" s="107">
        <v>3600</v>
      </c>
      <c r="L124" s="85" t="s">
        <v>358</v>
      </c>
      <c r="M124" s="110">
        <v>0</v>
      </c>
    </row>
    <row r="125" spans="1:13" x14ac:dyDescent="0.25">
      <c r="A125" s="1">
        <f t="shared" si="3"/>
        <v>50</v>
      </c>
      <c r="B125" s="31" t="s">
        <v>361</v>
      </c>
      <c r="C125" s="58" t="s">
        <v>198</v>
      </c>
      <c r="D125" s="70" t="s">
        <v>335</v>
      </c>
      <c r="E125" s="96">
        <v>1196</v>
      </c>
      <c r="F125" s="96">
        <v>1210</v>
      </c>
      <c r="G125" s="87">
        <v>14</v>
      </c>
      <c r="H125" s="94">
        <v>0</v>
      </c>
      <c r="I125" s="103">
        <v>12800</v>
      </c>
      <c r="J125" s="107">
        <v>12800</v>
      </c>
      <c r="K125" s="91"/>
      <c r="L125" s="85"/>
      <c r="M125" s="110">
        <v>12800</v>
      </c>
    </row>
    <row r="126" spans="1:13" x14ac:dyDescent="0.25">
      <c r="A126" s="1">
        <f t="shared" si="3"/>
        <v>51</v>
      </c>
      <c r="B126" s="31" t="s">
        <v>199</v>
      </c>
      <c r="C126" s="58" t="s">
        <v>200</v>
      </c>
      <c r="D126" s="70" t="s">
        <v>335</v>
      </c>
      <c r="E126" s="96">
        <v>1376</v>
      </c>
      <c r="F126" s="96">
        <v>1385</v>
      </c>
      <c r="G126" s="87">
        <v>9</v>
      </c>
      <c r="H126" s="94">
        <v>0</v>
      </c>
      <c r="I126" s="103">
        <v>9300</v>
      </c>
      <c r="J126" s="107">
        <v>9300</v>
      </c>
      <c r="K126" s="107">
        <v>9300</v>
      </c>
      <c r="L126" s="85" t="s">
        <v>358</v>
      </c>
      <c r="M126" s="110">
        <v>0</v>
      </c>
    </row>
    <row r="127" spans="1:13" x14ac:dyDescent="0.25">
      <c r="A127" s="1">
        <f t="shared" si="3"/>
        <v>52</v>
      </c>
      <c r="B127" s="31" t="s">
        <v>201</v>
      </c>
      <c r="C127" s="58" t="s">
        <v>202</v>
      </c>
      <c r="D127" s="70" t="s">
        <v>335</v>
      </c>
      <c r="E127" s="96">
        <v>556</v>
      </c>
      <c r="F127" s="96">
        <v>557</v>
      </c>
      <c r="G127" s="87">
        <v>1</v>
      </c>
      <c r="H127" s="94">
        <v>10200</v>
      </c>
      <c r="I127" s="103">
        <v>3700</v>
      </c>
      <c r="J127" s="107">
        <v>13900</v>
      </c>
      <c r="K127" s="107">
        <v>13900</v>
      </c>
      <c r="L127" s="85"/>
      <c r="M127" s="110">
        <v>0</v>
      </c>
    </row>
    <row r="128" spans="1:13" x14ac:dyDescent="0.25">
      <c r="A128" s="1">
        <f t="shared" si="3"/>
        <v>53</v>
      </c>
      <c r="B128" s="31" t="s">
        <v>203</v>
      </c>
      <c r="C128" s="58" t="s">
        <v>204</v>
      </c>
      <c r="D128" s="70" t="s">
        <v>335</v>
      </c>
      <c r="E128" s="96">
        <v>2707</v>
      </c>
      <c r="F128" s="96">
        <v>2713</v>
      </c>
      <c r="G128" s="87">
        <v>6</v>
      </c>
      <c r="H128" s="94">
        <v>24100</v>
      </c>
      <c r="I128" s="103">
        <v>7200</v>
      </c>
      <c r="J128" s="107">
        <v>31300</v>
      </c>
      <c r="K128" s="107">
        <v>31300</v>
      </c>
      <c r="L128" s="85"/>
      <c r="M128" s="110">
        <v>0</v>
      </c>
    </row>
    <row r="129" spans="1:13" x14ac:dyDescent="0.25">
      <c r="A129" s="1">
        <f t="shared" si="3"/>
        <v>54</v>
      </c>
      <c r="B129" s="31" t="s">
        <v>205</v>
      </c>
      <c r="C129" s="58" t="s">
        <v>206</v>
      </c>
      <c r="D129" s="70" t="s">
        <v>335</v>
      </c>
      <c r="E129" s="96">
        <v>1013</v>
      </c>
      <c r="F129" s="96">
        <v>1015</v>
      </c>
      <c r="G129" s="87">
        <v>2</v>
      </c>
      <c r="H129" s="94">
        <v>12500</v>
      </c>
      <c r="I129" s="103">
        <v>4400</v>
      </c>
      <c r="J129" s="107">
        <v>16900</v>
      </c>
      <c r="K129" s="91"/>
      <c r="L129" s="85"/>
      <c r="M129" s="110">
        <v>16900</v>
      </c>
    </row>
    <row r="130" spans="1:13" x14ac:dyDescent="0.25">
      <c r="A130" s="1">
        <f t="shared" si="3"/>
        <v>55</v>
      </c>
      <c r="B130" s="31" t="s">
        <v>207</v>
      </c>
      <c r="C130" s="58" t="s">
        <v>208</v>
      </c>
      <c r="D130" s="70" t="s">
        <v>335</v>
      </c>
      <c r="E130" s="96">
        <v>180</v>
      </c>
      <c r="F130" s="96">
        <v>181</v>
      </c>
      <c r="G130" s="87">
        <v>1</v>
      </c>
      <c r="H130" s="94">
        <v>4400</v>
      </c>
      <c r="I130" s="103">
        <v>3700</v>
      </c>
      <c r="J130" s="107">
        <v>8100</v>
      </c>
      <c r="K130" s="91"/>
      <c r="L130" s="85"/>
      <c r="M130" s="110">
        <v>8100</v>
      </c>
    </row>
    <row r="131" spans="1:13" x14ac:dyDescent="0.25">
      <c r="A131" s="1">
        <f t="shared" si="3"/>
        <v>56</v>
      </c>
      <c r="B131" s="31" t="s">
        <v>209</v>
      </c>
      <c r="C131" s="58" t="s">
        <v>210</v>
      </c>
      <c r="D131" s="70" t="s">
        <v>335</v>
      </c>
      <c r="E131" s="96">
        <v>91</v>
      </c>
      <c r="F131" s="96">
        <v>91</v>
      </c>
      <c r="G131" s="87">
        <v>0</v>
      </c>
      <c r="H131" s="94">
        <v>0</v>
      </c>
      <c r="I131" s="103">
        <v>3000</v>
      </c>
      <c r="J131" s="107">
        <v>3000</v>
      </c>
      <c r="K131" s="107">
        <v>3000</v>
      </c>
      <c r="L131" s="84" t="s">
        <v>358</v>
      </c>
      <c r="M131" s="110">
        <v>0</v>
      </c>
    </row>
    <row r="132" spans="1:13" x14ac:dyDescent="0.25">
      <c r="A132" s="1">
        <f t="shared" si="3"/>
        <v>57</v>
      </c>
      <c r="B132" s="31" t="s">
        <v>211</v>
      </c>
      <c r="C132" s="58" t="s">
        <v>212</v>
      </c>
      <c r="D132" s="70" t="s">
        <v>335</v>
      </c>
      <c r="E132" s="96">
        <v>1989</v>
      </c>
      <c r="F132" s="96">
        <v>1998</v>
      </c>
      <c r="G132" s="87">
        <v>9</v>
      </c>
      <c r="H132" s="94">
        <v>0</v>
      </c>
      <c r="I132" s="103">
        <v>9300</v>
      </c>
      <c r="J132" s="107">
        <v>9300</v>
      </c>
      <c r="K132" s="107">
        <v>9300</v>
      </c>
      <c r="L132" s="85" t="s">
        <v>358</v>
      </c>
      <c r="M132" s="110">
        <v>0</v>
      </c>
    </row>
    <row r="133" spans="1:13" x14ac:dyDescent="0.25">
      <c r="A133" s="1">
        <f t="shared" si="3"/>
        <v>58</v>
      </c>
      <c r="B133" s="31" t="s">
        <v>218</v>
      </c>
      <c r="C133" s="58" t="s">
        <v>217</v>
      </c>
      <c r="D133" s="70" t="s">
        <v>335</v>
      </c>
      <c r="E133" s="96">
        <v>905</v>
      </c>
      <c r="F133" s="96">
        <v>920</v>
      </c>
      <c r="G133" s="87">
        <v>15</v>
      </c>
      <c r="H133" s="94">
        <v>400</v>
      </c>
      <c r="I133" s="103">
        <v>13500</v>
      </c>
      <c r="J133" s="107">
        <v>13900</v>
      </c>
      <c r="K133" s="107">
        <v>13900</v>
      </c>
      <c r="L133" s="85" t="s">
        <v>358</v>
      </c>
      <c r="M133" s="110">
        <v>0</v>
      </c>
    </row>
    <row r="134" spans="1:13" x14ac:dyDescent="0.25">
      <c r="A134" s="1">
        <f t="shared" si="3"/>
        <v>59</v>
      </c>
      <c r="B134" s="31" t="s">
        <v>213</v>
      </c>
      <c r="C134" s="58" t="s">
        <v>214</v>
      </c>
      <c r="D134" s="70" t="s">
        <v>335</v>
      </c>
      <c r="E134" s="96">
        <v>596</v>
      </c>
      <c r="F134" s="96">
        <v>603</v>
      </c>
      <c r="G134" s="87">
        <v>7</v>
      </c>
      <c r="H134" s="94">
        <v>0</v>
      </c>
      <c r="I134" s="103">
        <v>7900</v>
      </c>
      <c r="J134" s="107">
        <v>7900</v>
      </c>
      <c r="K134" s="107">
        <v>7900</v>
      </c>
      <c r="L134" s="85" t="s">
        <v>358</v>
      </c>
      <c r="M134" s="110">
        <v>0</v>
      </c>
    </row>
    <row r="135" spans="1:13" x14ac:dyDescent="0.25">
      <c r="A135" s="1">
        <f t="shared" si="3"/>
        <v>60</v>
      </c>
      <c r="B135" s="31" t="s">
        <v>215</v>
      </c>
      <c r="C135" s="58" t="s">
        <v>216</v>
      </c>
      <c r="D135" s="70" t="s">
        <v>335</v>
      </c>
      <c r="E135" s="96">
        <v>4113</v>
      </c>
      <c r="F135" s="96">
        <v>4120</v>
      </c>
      <c r="G135" s="87">
        <v>7</v>
      </c>
      <c r="H135" s="94">
        <v>0</v>
      </c>
      <c r="I135" s="103">
        <v>7900</v>
      </c>
      <c r="J135" s="107">
        <v>7900</v>
      </c>
      <c r="K135" s="91"/>
      <c r="L135" s="85"/>
      <c r="M135" s="110">
        <v>7900</v>
      </c>
    </row>
    <row r="136" spans="1:13" x14ac:dyDescent="0.25">
      <c r="A136" s="1">
        <f t="shared" si="3"/>
        <v>61</v>
      </c>
      <c r="B136" s="31" t="s">
        <v>219</v>
      </c>
      <c r="C136" s="58" t="s">
        <v>220</v>
      </c>
      <c r="D136" s="70" t="s">
        <v>335</v>
      </c>
      <c r="E136" s="96">
        <v>313</v>
      </c>
      <c r="F136" s="96">
        <v>313</v>
      </c>
      <c r="G136" s="87">
        <v>0</v>
      </c>
      <c r="H136" s="94">
        <v>50700</v>
      </c>
      <c r="I136" s="103">
        <v>3000</v>
      </c>
      <c r="J136" s="107">
        <v>53700</v>
      </c>
      <c r="K136" s="91"/>
      <c r="L136" s="85"/>
      <c r="M136" s="110">
        <v>53700</v>
      </c>
    </row>
    <row r="137" spans="1:13" x14ac:dyDescent="0.25">
      <c r="A137" s="1">
        <f t="shared" si="3"/>
        <v>62</v>
      </c>
      <c r="B137" s="31" t="s">
        <v>221</v>
      </c>
      <c r="C137" s="58" t="s">
        <v>222</v>
      </c>
      <c r="D137" s="70" t="s">
        <v>335</v>
      </c>
      <c r="E137" s="96">
        <v>1725</v>
      </c>
      <c r="F137" s="96">
        <v>1741</v>
      </c>
      <c r="G137" s="87">
        <v>16</v>
      </c>
      <c r="H137" s="94">
        <v>0</v>
      </c>
      <c r="I137" s="103">
        <v>14200</v>
      </c>
      <c r="J137" s="107">
        <v>14200</v>
      </c>
      <c r="K137" s="107">
        <v>14200</v>
      </c>
      <c r="L137" s="85" t="s">
        <v>358</v>
      </c>
      <c r="M137" s="110">
        <v>0</v>
      </c>
    </row>
    <row r="138" spans="1:13" x14ac:dyDescent="0.25">
      <c r="A138" s="1">
        <f t="shared" si="3"/>
        <v>63</v>
      </c>
      <c r="B138" s="31" t="s">
        <v>223</v>
      </c>
      <c r="C138" s="58" t="s">
        <v>224</v>
      </c>
      <c r="D138" s="70" t="s">
        <v>335</v>
      </c>
      <c r="E138" s="96">
        <v>2165</v>
      </c>
      <c r="F138" s="96">
        <v>2180</v>
      </c>
      <c r="G138" s="87">
        <v>15</v>
      </c>
      <c r="H138" s="94">
        <v>0</v>
      </c>
      <c r="I138" s="103">
        <v>13500</v>
      </c>
      <c r="J138" s="107">
        <v>13500</v>
      </c>
      <c r="K138" s="91"/>
      <c r="L138" s="85"/>
      <c r="M138" s="110">
        <v>13500</v>
      </c>
    </row>
    <row r="139" spans="1:13" x14ac:dyDescent="0.25">
      <c r="A139" s="1">
        <f t="shared" si="3"/>
        <v>64</v>
      </c>
      <c r="B139" s="31" t="s">
        <v>225</v>
      </c>
      <c r="C139" s="58" t="s">
        <v>226</v>
      </c>
      <c r="D139" s="70" t="s">
        <v>335</v>
      </c>
      <c r="E139" s="96">
        <v>1348</v>
      </c>
      <c r="F139" s="96">
        <v>1361</v>
      </c>
      <c r="G139" s="87">
        <v>13</v>
      </c>
      <c r="H139" s="94">
        <v>0</v>
      </c>
      <c r="I139" s="103">
        <v>12100</v>
      </c>
      <c r="J139" s="107">
        <v>103100</v>
      </c>
      <c r="K139" s="107">
        <v>103100</v>
      </c>
      <c r="L139" s="85" t="s">
        <v>359</v>
      </c>
      <c r="M139" s="110">
        <v>0</v>
      </c>
    </row>
    <row r="140" spans="1:13" x14ac:dyDescent="0.25">
      <c r="A140" s="1">
        <f t="shared" si="3"/>
        <v>65</v>
      </c>
      <c r="B140" s="31" t="s">
        <v>227</v>
      </c>
      <c r="C140" s="58" t="s">
        <v>228</v>
      </c>
      <c r="D140" s="70" t="s">
        <v>335</v>
      </c>
      <c r="E140" s="96"/>
      <c r="F140" s="96"/>
      <c r="G140" s="87"/>
      <c r="H140" s="93"/>
      <c r="I140" s="92"/>
      <c r="J140" s="91"/>
      <c r="K140" s="91"/>
      <c r="L140" s="85"/>
      <c r="M140" s="111"/>
    </row>
    <row r="141" spans="1:13" x14ac:dyDescent="0.25">
      <c r="A141" s="1">
        <f t="shared" ref="A141:A204" si="4">A140+1</f>
        <v>66</v>
      </c>
      <c r="B141" s="31" t="s">
        <v>229</v>
      </c>
      <c r="C141" s="58" t="s">
        <v>230</v>
      </c>
      <c r="D141" s="70" t="s">
        <v>335</v>
      </c>
      <c r="E141" s="96">
        <v>1450</v>
      </c>
      <c r="F141" s="96">
        <v>1454</v>
      </c>
      <c r="G141" s="87">
        <v>4</v>
      </c>
      <c r="H141" s="94">
        <v>68900</v>
      </c>
      <c r="I141" s="103">
        <v>5800</v>
      </c>
      <c r="J141" s="107">
        <v>74700</v>
      </c>
      <c r="K141" s="91"/>
      <c r="L141" s="85"/>
      <c r="M141" s="110">
        <v>74700</v>
      </c>
    </row>
    <row r="142" spans="1:13" x14ac:dyDescent="0.25">
      <c r="A142" s="1">
        <f t="shared" si="4"/>
        <v>67</v>
      </c>
      <c r="B142" s="134" t="s">
        <v>231</v>
      </c>
      <c r="C142" s="135" t="s">
        <v>232</v>
      </c>
      <c r="D142" s="121" t="s">
        <v>335</v>
      </c>
      <c r="E142" s="123">
        <v>3462</v>
      </c>
      <c r="F142" s="123">
        <v>3480</v>
      </c>
      <c r="G142" s="125">
        <v>18</v>
      </c>
      <c r="H142" s="124">
        <v>0</v>
      </c>
      <c r="I142" s="124">
        <v>8850</v>
      </c>
      <c r="J142" s="126">
        <v>8850</v>
      </c>
      <c r="K142" s="126">
        <v>8850</v>
      </c>
      <c r="L142" s="127"/>
      <c r="M142" s="126">
        <v>0</v>
      </c>
    </row>
    <row r="143" spans="1:13" x14ac:dyDescent="0.25">
      <c r="A143" s="1">
        <f t="shared" si="4"/>
        <v>68</v>
      </c>
      <c r="B143" s="31" t="s">
        <v>233</v>
      </c>
      <c r="C143" s="58" t="s">
        <v>234</v>
      </c>
      <c r="D143" s="70" t="s">
        <v>335</v>
      </c>
      <c r="E143" s="96">
        <v>4157</v>
      </c>
      <c r="F143" s="96">
        <v>4171</v>
      </c>
      <c r="G143" s="87">
        <v>14</v>
      </c>
      <c r="H143" s="94">
        <v>14200</v>
      </c>
      <c r="I143" s="103">
        <v>12800</v>
      </c>
      <c r="J143" s="107">
        <v>27000</v>
      </c>
      <c r="K143" s="107">
        <v>27000</v>
      </c>
      <c r="L143" s="85"/>
      <c r="M143" s="110">
        <v>0</v>
      </c>
    </row>
    <row r="144" spans="1:13" x14ac:dyDescent="0.25">
      <c r="A144" s="1">
        <f t="shared" si="4"/>
        <v>69</v>
      </c>
      <c r="B144" s="31" t="s">
        <v>375</v>
      </c>
      <c r="C144" s="58" t="s">
        <v>236</v>
      </c>
      <c r="D144" s="70" t="s">
        <v>335</v>
      </c>
      <c r="E144" s="96">
        <v>1560</v>
      </c>
      <c r="F144" s="96">
        <v>1582</v>
      </c>
      <c r="G144" s="87">
        <v>22</v>
      </c>
      <c r="H144" s="94">
        <v>0</v>
      </c>
      <c r="I144" s="103">
        <v>18400</v>
      </c>
      <c r="J144" s="107">
        <v>18400</v>
      </c>
      <c r="K144" s="107">
        <v>18400</v>
      </c>
      <c r="L144" s="85"/>
      <c r="M144" s="110">
        <v>0</v>
      </c>
    </row>
    <row r="145" spans="1:13" x14ac:dyDescent="0.25">
      <c r="A145" s="1">
        <f t="shared" si="4"/>
        <v>70</v>
      </c>
      <c r="B145" s="31" t="s">
        <v>237</v>
      </c>
      <c r="C145" s="58" t="s">
        <v>238</v>
      </c>
      <c r="D145" s="70" t="s">
        <v>335</v>
      </c>
      <c r="E145" s="96">
        <v>3300</v>
      </c>
      <c r="F145" s="96">
        <v>3350</v>
      </c>
      <c r="G145" s="87">
        <v>50</v>
      </c>
      <c r="H145" s="94">
        <v>0</v>
      </c>
      <c r="I145" s="103">
        <v>38000</v>
      </c>
      <c r="J145" s="107">
        <v>38000</v>
      </c>
      <c r="K145" s="107">
        <v>38000</v>
      </c>
      <c r="L145" s="85"/>
      <c r="M145" s="110">
        <v>0</v>
      </c>
    </row>
    <row r="146" spans="1:13" x14ac:dyDescent="0.25">
      <c r="A146" s="1">
        <f t="shared" si="4"/>
        <v>71</v>
      </c>
      <c r="B146" s="31" t="s">
        <v>239</v>
      </c>
      <c r="C146" s="58" t="s">
        <v>240</v>
      </c>
      <c r="D146" s="70" t="s">
        <v>335</v>
      </c>
      <c r="E146" s="96">
        <v>3000</v>
      </c>
      <c r="F146" s="96">
        <v>3021</v>
      </c>
      <c r="G146" s="87">
        <v>21</v>
      </c>
      <c r="H146" s="94">
        <v>114900</v>
      </c>
      <c r="I146" s="103">
        <v>17700</v>
      </c>
      <c r="J146" s="107">
        <v>132600</v>
      </c>
      <c r="K146" s="91"/>
      <c r="L146" s="85"/>
      <c r="M146" s="110">
        <v>132600</v>
      </c>
    </row>
    <row r="147" spans="1:13" x14ac:dyDescent="0.25">
      <c r="A147" s="1">
        <f t="shared" si="4"/>
        <v>72</v>
      </c>
      <c r="B147" s="31" t="s">
        <v>241</v>
      </c>
      <c r="C147" s="58" t="s">
        <v>242</v>
      </c>
      <c r="D147" s="70" t="s">
        <v>335</v>
      </c>
      <c r="E147" s="96">
        <v>4205</v>
      </c>
      <c r="F147" s="96">
        <v>4250</v>
      </c>
      <c r="G147" s="87">
        <v>45</v>
      </c>
      <c r="H147" s="94">
        <v>72000</v>
      </c>
      <c r="I147" s="103">
        <v>34500</v>
      </c>
      <c r="J147" s="107">
        <v>106500</v>
      </c>
      <c r="K147" s="107">
        <v>106500</v>
      </c>
      <c r="L147" s="85" t="s">
        <v>359</v>
      </c>
      <c r="M147" s="110">
        <v>0</v>
      </c>
    </row>
    <row r="148" spans="1:13" x14ac:dyDescent="0.25">
      <c r="A148" s="1">
        <f t="shared" si="4"/>
        <v>73</v>
      </c>
      <c r="B148" s="31" t="s">
        <v>243</v>
      </c>
      <c r="C148" s="58" t="s">
        <v>244</v>
      </c>
      <c r="D148" s="70" t="s">
        <v>335</v>
      </c>
      <c r="E148" s="96">
        <v>4105</v>
      </c>
      <c r="F148" s="96">
        <v>4135</v>
      </c>
      <c r="G148" s="87">
        <v>30</v>
      </c>
      <c r="H148" s="94">
        <v>0</v>
      </c>
      <c r="I148" s="103">
        <v>24000</v>
      </c>
      <c r="J148" s="107">
        <v>24000</v>
      </c>
      <c r="K148" s="107">
        <v>24000</v>
      </c>
      <c r="L148" s="84"/>
      <c r="M148" s="110">
        <v>0</v>
      </c>
    </row>
    <row r="149" spans="1:13" x14ac:dyDescent="0.25">
      <c r="A149" s="1">
        <f t="shared" si="4"/>
        <v>74</v>
      </c>
      <c r="B149" s="31" t="s">
        <v>245</v>
      </c>
      <c r="C149" s="58" t="s">
        <v>246</v>
      </c>
      <c r="D149" s="70" t="s">
        <v>335</v>
      </c>
      <c r="E149" s="96">
        <v>6740</v>
      </c>
      <c r="F149" s="96">
        <v>6770</v>
      </c>
      <c r="G149" s="87">
        <v>30</v>
      </c>
      <c r="H149" s="94">
        <v>0</v>
      </c>
      <c r="I149" s="103">
        <v>24000</v>
      </c>
      <c r="J149" s="107">
        <v>24000</v>
      </c>
      <c r="K149" s="107">
        <v>24000</v>
      </c>
      <c r="L149" s="84"/>
      <c r="M149" s="110">
        <v>0</v>
      </c>
    </row>
    <row r="150" spans="1:13" x14ac:dyDescent="0.25">
      <c r="A150" s="1">
        <f>A149+1</f>
        <v>75</v>
      </c>
      <c r="B150" s="31" t="s">
        <v>247</v>
      </c>
      <c r="C150" s="58" t="s">
        <v>248</v>
      </c>
      <c r="D150" s="70" t="s">
        <v>335</v>
      </c>
      <c r="E150" s="96">
        <v>174</v>
      </c>
      <c r="F150" s="96">
        <v>176</v>
      </c>
      <c r="G150" s="87">
        <v>2</v>
      </c>
      <c r="H150" s="94">
        <v>0</v>
      </c>
      <c r="I150" s="103">
        <v>4400</v>
      </c>
      <c r="J150" s="107">
        <v>4400</v>
      </c>
      <c r="K150" s="91"/>
      <c r="L150" s="85"/>
      <c r="M150" s="110">
        <v>4400</v>
      </c>
    </row>
    <row r="151" spans="1:13" x14ac:dyDescent="0.25">
      <c r="A151" s="1">
        <f t="shared" si="4"/>
        <v>76</v>
      </c>
      <c r="B151" s="31" t="s">
        <v>249</v>
      </c>
      <c r="C151" s="58"/>
      <c r="D151" s="70" t="s">
        <v>335</v>
      </c>
      <c r="E151" s="96">
        <v>1830</v>
      </c>
      <c r="F151" s="96">
        <v>1855</v>
      </c>
      <c r="G151" s="87">
        <v>25</v>
      </c>
      <c r="H151" s="94">
        <v>24000</v>
      </c>
      <c r="I151" s="103">
        <v>20500</v>
      </c>
      <c r="J151" s="107">
        <v>44500</v>
      </c>
      <c r="K151" s="91"/>
      <c r="L151" s="85"/>
      <c r="M151" s="110">
        <v>44500</v>
      </c>
    </row>
    <row r="152" spans="1:13" x14ac:dyDescent="0.25">
      <c r="A152" s="1">
        <f t="shared" si="4"/>
        <v>77</v>
      </c>
      <c r="B152" s="31" t="s">
        <v>353</v>
      </c>
      <c r="C152" s="58"/>
      <c r="D152" s="70" t="s">
        <v>335</v>
      </c>
      <c r="E152" s="96">
        <v>484</v>
      </c>
      <c r="F152" s="96">
        <v>486</v>
      </c>
      <c r="G152" s="87">
        <v>2</v>
      </c>
      <c r="H152" s="94">
        <v>4400</v>
      </c>
      <c r="I152" s="103">
        <v>4400</v>
      </c>
      <c r="J152" s="107">
        <v>8800</v>
      </c>
      <c r="K152" s="91"/>
      <c r="L152" s="85"/>
      <c r="M152" s="110">
        <v>8800</v>
      </c>
    </row>
    <row r="153" spans="1:13" x14ac:dyDescent="0.25">
      <c r="A153" s="1">
        <f t="shared" si="4"/>
        <v>78</v>
      </c>
      <c r="B153" s="31" t="s">
        <v>251</v>
      </c>
      <c r="C153" s="58"/>
      <c r="D153" s="70" t="s">
        <v>335</v>
      </c>
      <c r="E153" s="96">
        <v>743</v>
      </c>
      <c r="F153" s="96">
        <v>743</v>
      </c>
      <c r="G153" s="87">
        <v>0</v>
      </c>
      <c r="H153" s="94">
        <v>86100</v>
      </c>
      <c r="I153" s="103">
        <v>3000</v>
      </c>
      <c r="J153" s="107">
        <v>89100</v>
      </c>
      <c r="K153" s="91"/>
      <c r="L153" s="85"/>
      <c r="M153" s="110">
        <v>89100</v>
      </c>
    </row>
    <row r="154" spans="1:13" x14ac:dyDescent="0.25">
      <c r="A154" s="1">
        <f t="shared" si="4"/>
        <v>79</v>
      </c>
      <c r="B154" s="31" t="s">
        <v>252</v>
      </c>
      <c r="C154" s="58" t="s">
        <v>253</v>
      </c>
      <c r="D154" s="70" t="s">
        <v>335</v>
      </c>
      <c r="E154" s="96">
        <v>1993</v>
      </c>
      <c r="F154" s="96">
        <v>1993</v>
      </c>
      <c r="G154" s="87">
        <v>0</v>
      </c>
      <c r="H154" s="94">
        <v>6000</v>
      </c>
      <c r="I154" s="103">
        <v>3000</v>
      </c>
      <c r="J154" s="107">
        <v>9000</v>
      </c>
      <c r="K154" s="91"/>
      <c r="L154" s="85"/>
      <c r="M154" s="110">
        <v>9000</v>
      </c>
    </row>
    <row r="155" spans="1:13" x14ac:dyDescent="0.25">
      <c r="A155" s="1">
        <f t="shared" si="4"/>
        <v>80</v>
      </c>
      <c r="B155" s="31" t="s">
        <v>254</v>
      </c>
      <c r="C155" s="58" t="s">
        <v>255</v>
      </c>
      <c r="D155" s="70" t="s">
        <v>335</v>
      </c>
      <c r="E155" s="96">
        <v>2244</v>
      </c>
      <c r="F155" s="96">
        <v>2244</v>
      </c>
      <c r="G155" s="87">
        <v>0</v>
      </c>
      <c r="H155" s="94">
        <v>18000</v>
      </c>
      <c r="I155" s="103">
        <v>3000</v>
      </c>
      <c r="J155" s="107">
        <v>21000</v>
      </c>
      <c r="K155" s="91"/>
      <c r="L155" s="85"/>
      <c r="M155" s="110">
        <v>21000</v>
      </c>
    </row>
    <row r="156" spans="1:13" x14ac:dyDescent="0.25">
      <c r="A156" s="1">
        <f t="shared" si="4"/>
        <v>81</v>
      </c>
      <c r="B156" s="31" t="s">
        <v>4</v>
      </c>
      <c r="C156" s="58"/>
      <c r="D156" s="70" t="s">
        <v>335</v>
      </c>
      <c r="E156" s="96">
        <v>228</v>
      </c>
      <c r="F156" s="96">
        <v>228</v>
      </c>
      <c r="G156" s="87">
        <v>0</v>
      </c>
      <c r="H156" s="94">
        <v>12000</v>
      </c>
      <c r="I156" s="103">
        <v>3000</v>
      </c>
      <c r="J156" s="107">
        <v>15000</v>
      </c>
      <c r="K156" s="107">
        <v>15000</v>
      </c>
      <c r="L156" s="84" t="s">
        <v>359</v>
      </c>
      <c r="M156" s="110">
        <v>0</v>
      </c>
    </row>
    <row r="157" spans="1:13" x14ac:dyDescent="0.25">
      <c r="A157" s="1">
        <f t="shared" si="4"/>
        <v>82</v>
      </c>
      <c r="B157" s="31" t="s">
        <v>256</v>
      </c>
      <c r="C157" s="58" t="s">
        <v>257</v>
      </c>
      <c r="D157" s="70" t="s">
        <v>335</v>
      </c>
      <c r="E157" s="96">
        <v>506</v>
      </c>
      <c r="F157" s="96">
        <v>506</v>
      </c>
      <c r="G157" s="87">
        <v>0</v>
      </c>
      <c r="H157" s="94">
        <v>19900</v>
      </c>
      <c r="I157" s="103">
        <v>3000</v>
      </c>
      <c r="J157" s="107">
        <v>22900</v>
      </c>
      <c r="K157" s="91"/>
      <c r="L157" s="85"/>
      <c r="M157" s="110">
        <v>22900</v>
      </c>
    </row>
    <row r="158" spans="1:13" x14ac:dyDescent="0.25">
      <c r="A158" s="1">
        <f t="shared" si="4"/>
        <v>83</v>
      </c>
      <c r="B158" s="31" t="s">
        <v>258</v>
      </c>
      <c r="C158" s="58" t="s">
        <v>259</v>
      </c>
      <c r="D158" s="70" t="s">
        <v>335</v>
      </c>
      <c r="E158" s="96">
        <v>605</v>
      </c>
      <c r="F158" s="96">
        <v>605</v>
      </c>
      <c r="G158" s="87">
        <v>0</v>
      </c>
      <c r="H158" s="94">
        <v>56000</v>
      </c>
      <c r="I158" s="103">
        <v>3000</v>
      </c>
      <c r="J158" s="107">
        <v>59000</v>
      </c>
      <c r="K158" s="107">
        <v>59000</v>
      </c>
      <c r="L158" s="85" t="s">
        <v>359</v>
      </c>
      <c r="M158" s="110">
        <v>0</v>
      </c>
    </row>
    <row r="159" spans="1:13" x14ac:dyDescent="0.25">
      <c r="A159" s="1">
        <f t="shared" si="4"/>
        <v>84</v>
      </c>
      <c r="B159" s="31" t="s">
        <v>260</v>
      </c>
      <c r="C159" s="58" t="s">
        <v>261</v>
      </c>
      <c r="D159" s="70" t="s">
        <v>335</v>
      </c>
      <c r="E159" s="96">
        <v>302</v>
      </c>
      <c r="F159" s="96">
        <v>302</v>
      </c>
      <c r="G159" s="87">
        <v>0</v>
      </c>
      <c r="H159" s="94">
        <v>4400</v>
      </c>
      <c r="I159" s="103">
        <v>3000</v>
      </c>
      <c r="J159" s="107">
        <v>7400</v>
      </c>
      <c r="K159" s="91"/>
      <c r="L159" s="85"/>
      <c r="M159" s="110">
        <v>7400</v>
      </c>
    </row>
    <row r="160" spans="1:13" x14ac:dyDescent="0.25">
      <c r="A160" s="1">
        <f t="shared" si="4"/>
        <v>85</v>
      </c>
      <c r="B160" s="31" t="s">
        <v>262</v>
      </c>
      <c r="C160" s="58" t="s">
        <v>263</v>
      </c>
      <c r="D160" s="70" t="s">
        <v>335</v>
      </c>
      <c r="E160" s="96">
        <v>485</v>
      </c>
      <c r="F160" s="96">
        <v>485</v>
      </c>
      <c r="G160" s="87">
        <v>0</v>
      </c>
      <c r="H160" s="94">
        <v>12500</v>
      </c>
      <c r="I160" s="103">
        <v>3000</v>
      </c>
      <c r="J160" s="107">
        <v>15500</v>
      </c>
      <c r="K160" s="107">
        <v>15500</v>
      </c>
      <c r="L160" s="84" t="s">
        <v>359</v>
      </c>
      <c r="M160" s="110">
        <v>0</v>
      </c>
    </row>
    <row r="161" spans="1:13" x14ac:dyDescent="0.25">
      <c r="A161" s="1">
        <f t="shared" si="4"/>
        <v>86</v>
      </c>
      <c r="B161" s="31" t="s">
        <v>264</v>
      </c>
      <c r="C161" s="58" t="s">
        <v>265</v>
      </c>
      <c r="D161" s="70" t="s">
        <v>335</v>
      </c>
      <c r="E161" s="96">
        <v>3537</v>
      </c>
      <c r="F161" s="96">
        <v>3547</v>
      </c>
      <c r="G161" s="87">
        <v>10</v>
      </c>
      <c r="H161" s="94">
        <v>50800</v>
      </c>
      <c r="I161" s="103">
        <v>10000</v>
      </c>
      <c r="J161" s="107">
        <v>60800</v>
      </c>
      <c r="K161" s="91"/>
      <c r="L161" s="85"/>
      <c r="M161" s="110">
        <v>60800</v>
      </c>
    </row>
    <row r="162" spans="1:13" x14ac:dyDescent="0.25">
      <c r="A162" s="1">
        <f t="shared" si="4"/>
        <v>87</v>
      </c>
      <c r="B162" s="31" t="s">
        <v>266</v>
      </c>
      <c r="C162" s="58" t="s">
        <v>267</v>
      </c>
      <c r="D162" s="70" t="s">
        <v>335</v>
      </c>
      <c r="E162" s="96">
        <v>2</v>
      </c>
      <c r="F162" s="96">
        <v>2</v>
      </c>
      <c r="G162" s="87">
        <v>0</v>
      </c>
      <c r="H162" s="94">
        <v>79200</v>
      </c>
      <c r="I162" s="103">
        <v>3000</v>
      </c>
      <c r="J162" s="107">
        <v>82200</v>
      </c>
      <c r="K162" s="91"/>
      <c r="L162" s="85"/>
      <c r="M162" s="110">
        <v>82200</v>
      </c>
    </row>
    <row r="163" spans="1:13" x14ac:dyDescent="0.25">
      <c r="A163" s="1">
        <f t="shared" si="4"/>
        <v>88</v>
      </c>
      <c r="B163" s="31" t="s">
        <v>268</v>
      </c>
      <c r="C163" s="58" t="s">
        <v>269</v>
      </c>
      <c r="D163" s="70" t="s">
        <v>335</v>
      </c>
      <c r="E163" s="96">
        <v>1468</v>
      </c>
      <c r="F163" s="96">
        <v>1485</v>
      </c>
      <c r="G163" s="87">
        <v>17</v>
      </c>
      <c r="H163" s="94">
        <v>0</v>
      </c>
      <c r="I163" s="103">
        <v>14900</v>
      </c>
      <c r="J163" s="107">
        <v>14900</v>
      </c>
      <c r="K163" s="107">
        <v>17000</v>
      </c>
      <c r="L163" s="84" t="s">
        <v>359</v>
      </c>
      <c r="M163" s="110">
        <v>0</v>
      </c>
    </row>
    <row r="164" spans="1:13" x14ac:dyDescent="0.25">
      <c r="A164" s="1">
        <f t="shared" si="4"/>
        <v>89</v>
      </c>
      <c r="B164" s="31" t="s">
        <v>271</v>
      </c>
      <c r="C164" s="58" t="s">
        <v>270</v>
      </c>
      <c r="D164" s="70" t="s">
        <v>335</v>
      </c>
      <c r="E164" s="96">
        <v>2600</v>
      </c>
      <c r="F164" s="96">
        <v>2601</v>
      </c>
      <c r="G164" s="87">
        <v>1</v>
      </c>
      <c r="H164" s="94">
        <v>7400</v>
      </c>
      <c r="I164" s="103">
        <v>3700</v>
      </c>
      <c r="J164" s="107">
        <v>11100</v>
      </c>
      <c r="K164" s="107">
        <v>11100</v>
      </c>
      <c r="L164" s="85" t="s">
        <v>359</v>
      </c>
      <c r="M164" s="110">
        <v>0</v>
      </c>
    </row>
    <row r="165" spans="1:13" x14ac:dyDescent="0.25">
      <c r="A165" s="1">
        <f t="shared" si="4"/>
        <v>90</v>
      </c>
      <c r="B165" s="31" t="s">
        <v>272</v>
      </c>
      <c r="C165" s="58" t="s">
        <v>273</v>
      </c>
      <c r="D165" s="70" t="s">
        <v>335</v>
      </c>
      <c r="E165" s="96">
        <v>2950</v>
      </c>
      <c r="F165" s="96">
        <v>2970</v>
      </c>
      <c r="G165" s="87">
        <v>20</v>
      </c>
      <c r="H165" s="94">
        <v>17700</v>
      </c>
      <c r="I165" s="103">
        <v>17000</v>
      </c>
      <c r="J165" s="107">
        <v>34700</v>
      </c>
      <c r="K165" s="107">
        <v>34700</v>
      </c>
      <c r="L165" s="85" t="s">
        <v>359</v>
      </c>
      <c r="M165" s="110">
        <v>0</v>
      </c>
    </row>
    <row r="166" spans="1:13" x14ac:dyDescent="0.25">
      <c r="A166" s="1">
        <f t="shared" si="4"/>
        <v>91</v>
      </c>
      <c r="B166" s="31" t="s">
        <v>274</v>
      </c>
      <c r="C166" s="58" t="s">
        <v>275</v>
      </c>
      <c r="D166" s="70" t="s">
        <v>335</v>
      </c>
      <c r="E166" s="96">
        <v>8310</v>
      </c>
      <c r="F166" s="96">
        <v>8325</v>
      </c>
      <c r="G166" s="87">
        <v>15</v>
      </c>
      <c r="H166" s="94">
        <v>54000</v>
      </c>
      <c r="I166" s="103">
        <v>13500</v>
      </c>
      <c r="J166" s="107">
        <v>67500</v>
      </c>
      <c r="K166" s="107">
        <v>67000</v>
      </c>
      <c r="L166" s="85" t="s">
        <v>358</v>
      </c>
      <c r="M166" s="110">
        <v>500</v>
      </c>
    </row>
    <row r="167" spans="1:13" x14ac:dyDescent="0.25">
      <c r="A167" s="1">
        <f t="shared" si="4"/>
        <v>92</v>
      </c>
      <c r="B167" s="31" t="s">
        <v>276</v>
      </c>
      <c r="C167" s="58" t="s">
        <v>277</v>
      </c>
      <c r="D167" s="70" t="s">
        <v>335</v>
      </c>
      <c r="E167" s="96">
        <v>2973</v>
      </c>
      <c r="F167" s="96">
        <v>2973</v>
      </c>
      <c r="G167" s="87">
        <v>0</v>
      </c>
      <c r="H167" s="94">
        <v>26000</v>
      </c>
      <c r="I167" s="103">
        <v>3000</v>
      </c>
      <c r="J167" s="107">
        <v>29000</v>
      </c>
      <c r="K167" s="91"/>
      <c r="L167" s="85"/>
      <c r="M167" s="110">
        <v>29000</v>
      </c>
    </row>
    <row r="168" spans="1:13" x14ac:dyDescent="0.25">
      <c r="A168" s="1">
        <f t="shared" si="4"/>
        <v>93</v>
      </c>
      <c r="B168" s="31" t="s">
        <v>278</v>
      </c>
      <c r="C168" s="58" t="s">
        <v>279</v>
      </c>
      <c r="D168" s="70" t="s">
        <v>335</v>
      </c>
      <c r="E168" s="96">
        <v>1015</v>
      </c>
      <c r="F168" s="96">
        <v>1020</v>
      </c>
      <c r="G168" s="87">
        <v>5</v>
      </c>
      <c r="H168" s="94">
        <v>65600</v>
      </c>
      <c r="I168" s="103">
        <v>6500</v>
      </c>
      <c r="J168" s="107">
        <v>72100</v>
      </c>
      <c r="K168" s="91">
        <v>72100</v>
      </c>
      <c r="L168" s="85" t="s">
        <v>358</v>
      </c>
      <c r="M168" s="110">
        <v>0</v>
      </c>
    </row>
    <row r="169" spans="1:13" x14ac:dyDescent="0.25">
      <c r="A169" s="1">
        <f t="shared" si="4"/>
        <v>94</v>
      </c>
      <c r="B169" s="31" t="s">
        <v>354</v>
      </c>
      <c r="C169" s="58" t="s">
        <v>281</v>
      </c>
      <c r="D169" s="70" t="s">
        <v>335</v>
      </c>
      <c r="E169" s="96">
        <v>720</v>
      </c>
      <c r="F169" s="96">
        <v>730</v>
      </c>
      <c r="G169" s="87">
        <v>10</v>
      </c>
      <c r="H169" s="94">
        <v>12500</v>
      </c>
      <c r="I169" s="103">
        <v>10000</v>
      </c>
      <c r="J169" s="107">
        <v>22500</v>
      </c>
      <c r="K169" s="91"/>
      <c r="L169" s="85"/>
      <c r="M169" s="110">
        <v>22500</v>
      </c>
    </row>
    <row r="170" spans="1:13" x14ac:dyDescent="0.25">
      <c r="A170" s="1">
        <f t="shared" si="4"/>
        <v>95</v>
      </c>
      <c r="B170" s="31" t="s">
        <v>282</v>
      </c>
      <c r="C170" s="58" t="s">
        <v>283</v>
      </c>
      <c r="D170" s="70" t="s">
        <v>335</v>
      </c>
      <c r="E170" s="96">
        <v>1650</v>
      </c>
      <c r="F170" s="96">
        <v>1655</v>
      </c>
      <c r="G170" s="87">
        <v>5</v>
      </c>
      <c r="H170" s="94">
        <v>11600</v>
      </c>
      <c r="I170" s="103">
        <v>6500</v>
      </c>
      <c r="J170" s="107">
        <v>18100</v>
      </c>
      <c r="K170" s="91"/>
      <c r="L170" s="85"/>
      <c r="M170" s="110">
        <v>18100</v>
      </c>
    </row>
    <row r="171" spans="1:13" x14ac:dyDescent="0.25">
      <c r="A171" s="1">
        <f t="shared" si="4"/>
        <v>96</v>
      </c>
      <c r="B171" s="31" t="s">
        <v>284</v>
      </c>
      <c r="C171" s="58" t="s">
        <v>285</v>
      </c>
      <c r="D171" s="70" t="s">
        <v>335</v>
      </c>
      <c r="E171" s="96">
        <v>2210</v>
      </c>
      <c r="F171" s="96">
        <v>2243</v>
      </c>
      <c r="G171" s="87">
        <v>33</v>
      </c>
      <c r="H171" s="94">
        <v>0</v>
      </c>
      <c r="I171" s="103">
        <v>26100</v>
      </c>
      <c r="J171" s="107">
        <v>26100</v>
      </c>
      <c r="K171" s="107">
        <v>26100</v>
      </c>
      <c r="L171" s="85" t="s">
        <v>358</v>
      </c>
      <c r="M171" s="110">
        <v>0</v>
      </c>
    </row>
    <row r="172" spans="1:13" x14ac:dyDescent="0.25">
      <c r="A172" s="1">
        <f t="shared" si="4"/>
        <v>97</v>
      </c>
      <c r="B172" s="31" t="s">
        <v>286</v>
      </c>
      <c r="C172" s="58" t="s">
        <v>287</v>
      </c>
      <c r="D172" s="70" t="s">
        <v>335</v>
      </c>
      <c r="E172" s="96">
        <v>1140</v>
      </c>
      <c r="F172" s="96">
        <v>1152</v>
      </c>
      <c r="G172" s="87">
        <v>12</v>
      </c>
      <c r="H172" s="94">
        <v>0</v>
      </c>
      <c r="I172" s="103">
        <v>11400</v>
      </c>
      <c r="J172" s="107">
        <v>11400</v>
      </c>
      <c r="K172" s="91"/>
      <c r="L172" s="85"/>
      <c r="M172" s="110">
        <v>11400</v>
      </c>
    </row>
    <row r="173" spans="1:13" x14ac:dyDescent="0.25">
      <c r="A173" s="1">
        <f t="shared" si="4"/>
        <v>98</v>
      </c>
      <c r="B173" s="31" t="s">
        <v>288</v>
      </c>
      <c r="C173" s="58" t="s">
        <v>289</v>
      </c>
      <c r="D173" s="70" t="s">
        <v>335</v>
      </c>
      <c r="E173" s="96">
        <v>1305</v>
      </c>
      <c r="F173" s="96">
        <v>1320</v>
      </c>
      <c r="G173" s="87">
        <v>15</v>
      </c>
      <c r="H173" s="94">
        <v>0</v>
      </c>
      <c r="I173" s="103">
        <v>13500</v>
      </c>
      <c r="J173" s="107">
        <v>13500</v>
      </c>
      <c r="K173" s="107">
        <v>13500</v>
      </c>
      <c r="L173" s="85" t="s">
        <v>358</v>
      </c>
      <c r="M173" s="110">
        <v>0</v>
      </c>
    </row>
    <row r="174" spans="1:13" x14ac:dyDescent="0.25">
      <c r="A174" s="1">
        <f t="shared" si="4"/>
        <v>99</v>
      </c>
      <c r="B174" s="31" t="s">
        <v>290</v>
      </c>
      <c r="C174" s="58" t="s">
        <v>291</v>
      </c>
      <c r="D174" s="70" t="s">
        <v>335</v>
      </c>
      <c r="E174" s="96">
        <v>1135</v>
      </c>
      <c r="F174" s="96">
        <v>1140</v>
      </c>
      <c r="G174" s="87">
        <v>5</v>
      </c>
      <c r="H174" s="94">
        <v>25300</v>
      </c>
      <c r="I174" s="103">
        <v>6500</v>
      </c>
      <c r="J174" s="107">
        <v>31800</v>
      </c>
      <c r="K174" s="91"/>
      <c r="L174" s="85"/>
      <c r="M174" s="110">
        <v>31800</v>
      </c>
    </row>
    <row r="175" spans="1:13" x14ac:dyDescent="0.25">
      <c r="A175" s="1">
        <f t="shared" si="4"/>
        <v>100</v>
      </c>
      <c r="B175" s="31" t="s">
        <v>292</v>
      </c>
      <c r="C175" s="58" t="s">
        <v>293</v>
      </c>
      <c r="D175" s="70" t="s">
        <v>335</v>
      </c>
      <c r="E175" s="96">
        <v>1750</v>
      </c>
      <c r="F175" s="96">
        <v>1760</v>
      </c>
      <c r="G175" s="87">
        <v>10</v>
      </c>
      <c r="H175" s="94">
        <v>0</v>
      </c>
      <c r="I175" s="103">
        <v>10000</v>
      </c>
      <c r="J175" s="107">
        <v>10000</v>
      </c>
      <c r="K175" s="107">
        <v>10000</v>
      </c>
      <c r="L175" s="84" t="s">
        <v>358</v>
      </c>
      <c r="M175" s="110">
        <v>0</v>
      </c>
    </row>
    <row r="176" spans="1:13" x14ac:dyDescent="0.25">
      <c r="A176" s="1">
        <f t="shared" si="4"/>
        <v>101</v>
      </c>
      <c r="B176" s="31" t="s">
        <v>294</v>
      </c>
      <c r="C176" s="58" t="s">
        <v>295</v>
      </c>
      <c r="D176" s="70" t="s">
        <v>335</v>
      </c>
      <c r="E176" s="96">
        <v>937</v>
      </c>
      <c r="F176" s="96">
        <v>946</v>
      </c>
      <c r="G176" s="87">
        <v>9</v>
      </c>
      <c r="H176" s="94">
        <v>9300</v>
      </c>
      <c r="I176" s="103">
        <v>9300</v>
      </c>
      <c r="J176" s="107">
        <v>18600</v>
      </c>
      <c r="K176" s="107">
        <v>18600</v>
      </c>
      <c r="L176" s="85"/>
      <c r="M176" s="110">
        <v>0</v>
      </c>
    </row>
    <row r="177" spans="1:13" x14ac:dyDescent="0.25">
      <c r="A177" s="1">
        <f t="shared" si="4"/>
        <v>102</v>
      </c>
      <c r="B177" s="31" t="s">
        <v>296</v>
      </c>
      <c r="C177" s="58" t="s">
        <v>297</v>
      </c>
      <c r="D177" s="70" t="s">
        <v>335</v>
      </c>
      <c r="E177" s="96">
        <v>799</v>
      </c>
      <c r="F177" s="96">
        <v>807</v>
      </c>
      <c r="G177" s="87">
        <v>8</v>
      </c>
      <c r="H177" s="94">
        <v>0</v>
      </c>
      <c r="I177" s="103">
        <v>8600</v>
      </c>
      <c r="J177" s="107">
        <v>8600</v>
      </c>
      <c r="K177" s="107">
        <v>8600</v>
      </c>
      <c r="L177" s="85" t="s">
        <v>358</v>
      </c>
      <c r="M177" s="110">
        <v>0</v>
      </c>
    </row>
    <row r="178" spans="1:13" x14ac:dyDescent="0.25">
      <c r="A178" s="1">
        <f t="shared" si="4"/>
        <v>103</v>
      </c>
      <c r="B178" s="31" t="s">
        <v>366</v>
      </c>
      <c r="C178" s="58" t="s">
        <v>299</v>
      </c>
      <c r="D178" s="70" t="s">
        <v>335</v>
      </c>
      <c r="E178" s="96">
        <v>2739</v>
      </c>
      <c r="F178" s="96">
        <v>2751</v>
      </c>
      <c r="G178" s="87">
        <v>12</v>
      </c>
      <c r="H178" s="94">
        <v>0</v>
      </c>
      <c r="I178" s="103">
        <v>11400</v>
      </c>
      <c r="J178" s="107">
        <v>11400</v>
      </c>
      <c r="K178" s="107">
        <v>11400</v>
      </c>
      <c r="L178" s="85" t="s">
        <v>358</v>
      </c>
      <c r="M178" s="110">
        <v>0</v>
      </c>
    </row>
    <row r="179" spans="1:13" x14ac:dyDescent="0.25">
      <c r="A179" s="1">
        <f t="shared" si="4"/>
        <v>104</v>
      </c>
      <c r="B179" s="31" t="s">
        <v>300</v>
      </c>
      <c r="C179" s="58" t="s">
        <v>301</v>
      </c>
      <c r="D179" s="70" t="s">
        <v>335</v>
      </c>
      <c r="E179" s="96">
        <v>4986</v>
      </c>
      <c r="F179" s="96">
        <v>4987</v>
      </c>
      <c r="G179" s="87">
        <v>1</v>
      </c>
      <c r="H179" s="94">
        <v>10200</v>
      </c>
      <c r="I179" s="103">
        <v>3700</v>
      </c>
      <c r="J179" s="107">
        <v>13900</v>
      </c>
      <c r="K179" s="91"/>
      <c r="L179" s="85"/>
      <c r="M179" s="110">
        <v>13900</v>
      </c>
    </row>
    <row r="180" spans="1:13" x14ac:dyDescent="0.25">
      <c r="A180" s="1">
        <f t="shared" si="4"/>
        <v>105</v>
      </c>
      <c r="B180" s="31" t="s">
        <v>302</v>
      </c>
      <c r="C180" s="58" t="s">
        <v>303</v>
      </c>
      <c r="D180" s="70" t="s">
        <v>335</v>
      </c>
      <c r="E180" s="96">
        <v>602</v>
      </c>
      <c r="F180" s="96">
        <v>611</v>
      </c>
      <c r="G180" s="87">
        <v>9</v>
      </c>
      <c r="H180" s="94">
        <v>0</v>
      </c>
      <c r="I180" s="103">
        <v>9300</v>
      </c>
      <c r="J180" s="107">
        <v>9300</v>
      </c>
      <c r="K180" s="107">
        <v>9300</v>
      </c>
      <c r="L180" s="84" t="s">
        <v>358</v>
      </c>
      <c r="M180" s="110">
        <v>0</v>
      </c>
    </row>
    <row r="181" spans="1:13" x14ac:dyDescent="0.25">
      <c r="A181" s="1">
        <f t="shared" si="4"/>
        <v>106</v>
      </c>
      <c r="B181" s="31" t="s">
        <v>304</v>
      </c>
      <c r="C181" s="58" t="s">
        <v>305</v>
      </c>
      <c r="D181" s="70" t="s">
        <v>335</v>
      </c>
      <c r="E181" s="96">
        <v>3437</v>
      </c>
      <c r="F181" s="96">
        <v>3452</v>
      </c>
      <c r="G181" s="87">
        <v>15</v>
      </c>
      <c r="H181" s="94">
        <v>31900</v>
      </c>
      <c r="I181" s="103">
        <v>13500</v>
      </c>
      <c r="J181" s="107">
        <v>45400</v>
      </c>
      <c r="K181" s="107">
        <v>45400</v>
      </c>
      <c r="L181" s="84" t="s">
        <v>358</v>
      </c>
      <c r="M181" s="110">
        <v>0</v>
      </c>
    </row>
    <row r="182" spans="1:13" x14ac:dyDescent="0.25">
      <c r="A182" s="1">
        <f t="shared" si="4"/>
        <v>107</v>
      </c>
      <c r="B182" s="31" t="s">
        <v>306</v>
      </c>
      <c r="C182" s="58" t="s">
        <v>307</v>
      </c>
      <c r="D182" s="70" t="s">
        <v>335</v>
      </c>
      <c r="E182" s="96">
        <v>2921</v>
      </c>
      <c r="F182" s="96">
        <v>2931</v>
      </c>
      <c r="G182" s="87">
        <v>10</v>
      </c>
      <c r="H182" s="94">
        <v>0</v>
      </c>
      <c r="I182" s="103">
        <v>10000</v>
      </c>
      <c r="J182" s="107">
        <v>10000</v>
      </c>
      <c r="K182" s="107">
        <v>10000</v>
      </c>
      <c r="L182" s="84" t="s">
        <v>358</v>
      </c>
      <c r="M182" s="110">
        <v>0</v>
      </c>
    </row>
    <row r="183" spans="1:13" x14ac:dyDescent="0.25">
      <c r="A183" s="1">
        <f t="shared" si="4"/>
        <v>108</v>
      </c>
      <c r="B183" s="31" t="s">
        <v>308</v>
      </c>
      <c r="C183" s="58" t="s">
        <v>309</v>
      </c>
      <c r="D183" s="70" t="s">
        <v>335</v>
      </c>
      <c r="E183" s="96">
        <v>51</v>
      </c>
      <c r="F183" s="96">
        <v>51</v>
      </c>
      <c r="G183" s="87">
        <v>0</v>
      </c>
      <c r="H183" s="94">
        <v>0</v>
      </c>
      <c r="I183" s="103">
        <v>3000</v>
      </c>
      <c r="J183" s="107">
        <v>3000</v>
      </c>
      <c r="K183" s="91"/>
      <c r="L183" s="85"/>
      <c r="M183" s="110">
        <v>3000</v>
      </c>
    </row>
    <row r="184" spans="1:13" x14ac:dyDescent="0.25">
      <c r="A184" s="1">
        <f t="shared" si="4"/>
        <v>109</v>
      </c>
      <c r="B184" s="31" t="s">
        <v>310</v>
      </c>
      <c r="C184" s="58" t="s">
        <v>311</v>
      </c>
      <c r="D184" s="70" t="s">
        <v>334</v>
      </c>
      <c r="E184" s="96">
        <v>2266</v>
      </c>
      <c r="F184" s="96">
        <v>2266</v>
      </c>
      <c r="G184" s="87">
        <v>0</v>
      </c>
      <c r="H184" s="94">
        <v>26600</v>
      </c>
      <c r="I184" s="103">
        <v>3000</v>
      </c>
      <c r="J184" s="107">
        <v>29600</v>
      </c>
      <c r="K184" s="107">
        <v>29600</v>
      </c>
      <c r="L184" s="85" t="s">
        <v>358</v>
      </c>
      <c r="M184" s="110">
        <v>0</v>
      </c>
    </row>
    <row r="185" spans="1:13" x14ac:dyDescent="0.25">
      <c r="A185" s="1">
        <f t="shared" si="4"/>
        <v>110</v>
      </c>
      <c r="B185" s="31" t="s">
        <v>312</v>
      </c>
      <c r="C185" s="58" t="s">
        <v>313</v>
      </c>
      <c r="D185" s="70" t="s">
        <v>335</v>
      </c>
      <c r="E185" s="96">
        <v>2440</v>
      </c>
      <c r="F185" s="96">
        <v>2476</v>
      </c>
      <c r="G185" s="87">
        <v>36</v>
      </c>
      <c r="H185" s="94">
        <v>0</v>
      </c>
      <c r="I185" s="103">
        <v>28200</v>
      </c>
      <c r="J185" s="107">
        <v>28200</v>
      </c>
      <c r="K185" s="91"/>
      <c r="L185" s="85"/>
      <c r="M185" s="110">
        <v>28200</v>
      </c>
    </row>
    <row r="186" spans="1:13" x14ac:dyDescent="0.25">
      <c r="A186" s="1">
        <f t="shared" si="4"/>
        <v>111</v>
      </c>
      <c r="B186" s="31" t="s">
        <v>314</v>
      </c>
      <c r="C186" s="58" t="s">
        <v>315</v>
      </c>
      <c r="D186" s="70" t="s">
        <v>335</v>
      </c>
      <c r="E186" s="96">
        <v>1315</v>
      </c>
      <c r="F186" s="96">
        <v>1315</v>
      </c>
      <c r="G186" s="87">
        <v>0</v>
      </c>
      <c r="H186" s="94">
        <v>22500</v>
      </c>
      <c r="I186" s="103">
        <v>3000</v>
      </c>
      <c r="J186" s="107">
        <v>25500</v>
      </c>
      <c r="K186" s="107">
        <v>25500</v>
      </c>
      <c r="L186" s="84" t="s">
        <v>359</v>
      </c>
      <c r="M186" s="110">
        <v>0</v>
      </c>
    </row>
    <row r="187" spans="1:13" x14ac:dyDescent="0.25">
      <c r="A187" s="1">
        <f t="shared" si="4"/>
        <v>112</v>
      </c>
      <c r="B187" s="31" t="s">
        <v>316</v>
      </c>
      <c r="C187" s="58" t="s">
        <v>317</v>
      </c>
      <c r="D187" s="70" t="s">
        <v>335</v>
      </c>
      <c r="E187" s="96">
        <v>4041</v>
      </c>
      <c r="F187" s="96">
        <v>4042</v>
      </c>
      <c r="G187" s="87">
        <v>1</v>
      </c>
      <c r="H187" s="94">
        <v>14100</v>
      </c>
      <c r="I187" s="103">
        <v>3700</v>
      </c>
      <c r="J187" s="107">
        <v>17800</v>
      </c>
      <c r="K187" s="107">
        <v>17800</v>
      </c>
      <c r="L187" s="84" t="s">
        <v>358</v>
      </c>
      <c r="M187" s="110">
        <v>0</v>
      </c>
    </row>
    <row r="188" spans="1:13" x14ac:dyDescent="0.25">
      <c r="A188" s="1">
        <f t="shared" si="4"/>
        <v>113</v>
      </c>
      <c r="B188" s="31" t="s">
        <v>318</v>
      </c>
      <c r="C188" s="58" t="s">
        <v>319</v>
      </c>
      <c r="D188" s="70" t="s">
        <v>335</v>
      </c>
      <c r="E188" s="96">
        <v>1054</v>
      </c>
      <c r="F188" s="96">
        <v>1054</v>
      </c>
      <c r="G188" s="87">
        <v>0</v>
      </c>
      <c r="H188" s="94">
        <v>73200</v>
      </c>
      <c r="I188" s="103">
        <v>3000</v>
      </c>
      <c r="J188" s="107">
        <v>76200</v>
      </c>
      <c r="K188" s="91"/>
      <c r="L188" s="85"/>
      <c r="M188" s="110">
        <v>76200</v>
      </c>
    </row>
    <row r="189" spans="1:13" x14ac:dyDescent="0.25">
      <c r="A189" s="1">
        <f t="shared" si="4"/>
        <v>114</v>
      </c>
      <c r="B189" s="31" t="s">
        <v>320</v>
      </c>
      <c r="C189" s="58" t="s">
        <v>321</v>
      </c>
      <c r="D189" s="70" t="s">
        <v>335</v>
      </c>
      <c r="E189" s="96">
        <v>1244</v>
      </c>
      <c r="F189" s="96">
        <v>1251</v>
      </c>
      <c r="G189" s="87">
        <v>7</v>
      </c>
      <c r="H189" s="94">
        <v>35300</v>
      </c>
      <c r="I189" s="103">
        <v>7900</v>
      </c>
      <c r="J189" s="107">
        <v>43200</v>
      </c>
      <c r="K189" s="107">
        <v>50000</v>
      </c>
      <c r="L189" s="85" t="s">
        <v>358</v>
      </c>
      <c r="M189" s="110">
        <v>0</v>
      </c>
    </row>
    <row r="190" spans="1:13" x14ac:dyDescent="0.25">
      <c r="A190" s="1">
        <f t="shared" si="4"/>
        <v>115</v>
      </c>
      <c r="B190" s="31" t="s">
        <v>362</v>
      </c>
      <c r="C190" s="58" t="s">
        <v>323</v>
      </c>
      <c r="D190" s="70" t="s">
        <v>335</v>
      </c>
      <c r="E190" s="96">
        <v>2791</v>
      </c>
      <c r="F190" s="96">
        <v>2807</v>
      </c>
      <c r="G190" s="87">
        <v>16</v>
      </c>
      <c r="H190" s="94">
        <v>73000</v>
      </c>
      <c r="I190" s="103">
        <v>14200</v>
      </c>
      <c r="J190" s="107">
        <v>87200</v>
      </c>
      <c r="K190" s="91"/>
      <c r="L190" s="85"/>
      <c r="M190" s="110">
        <v>87200</v>
      </c>
    </row>
    <row r="191" spans="1:13" x14ac:dyDescent="0.25">
      <c r="A191" s="1">
        <f t="shared" si="4"/>
        <v>116</v>
      </c>
      <c r="B191" s="31" t="s">
        <v>324</v>
      </c>
      <c r="C191" s="58" t="s">
        <v>325</v>
      </c>
      <c r="D191" s="70" t="s">
        <v>335</v>
      </c>
      <c r="E191" s="96">
        <v>401</v>
      </c>
      <c r="F191" s="96">
        <v>408</v>
      </c>
      <c r="G191" s="87">
        <v>7</v>
      </c>
      <c r="H191" s="94">
        <v>0</v>
      </c>
      <c r="I191" s="103">
        <v>7900</v>
      </c>
      <c r="J191" s="107">
        <v>7900</v>
      </c>
      <c r="K191" s="107">
        <v>7900</v>
      </c>
      <c r="L191" s="85" t="s">
        <v>358</v>
      </c>
      <c r="M191" s="110">
        <v>0</v>
      </c>
    </row>
    <row r="192" spans="1:13" x14ac:dyDescent="0.25">
      <c r="A192" s="1">
        <f t="shared" si="4"/>
        <v>117</v>
      </c>
      <c r="B192" s="31" t="s">
        <v>326</v>
      </c>
      <c r="C192" s="58" t="s">
        <v>327</v>
      </c>
      <c r="D192" s="70" t="s">
        <v>335</v>
      </c>
      <c r="E192" s="96">
        <v>2935</v>
      </c>
      <c r="F192" s="96">
        <v>2940</v>
      </c>
      <c r="G192" s="87">
        <v>5</v>
      </c>
      <c r="H192" s="94">
        <v>0</v>
      </c>
      <c r="I192" s="103">
        <v>6500</v>
      </c>
      <c r="J192" s="107">
        <v>6500</v>
      </c>
      <c r="K192" s="107">
        <v>6500</v>
      </c>
      <c r="L192" s="84" t="s">
        <v>359</v>
      </c>
      <c r="M192" s="110">
        <v>0</v>
      </c>
    </row>
    <row r="193" spans="1:13" x14ac:dyDescent="0.25">
      <c r="A193" s="1">
        <f t="shared" si="4"/>
        <v>118</v>
      </c>
      <c r="B193" s="31" t="s">
        <v>328</v>
      </c>
      <c r="C193" s="58" t="s">
        <v>329</v>
      </c>
      <c r="D193" s="70" t="s">
        <v>335</v>
      </c>
      <c r="E193" s="96">
        <v>1926</v>
      </c>
      <c r="F193" s="96">
        <v>1936</v>
      </c>
      <c r="G193" s="87">
        <v>10</v>
      </c>
      <c r="H193" s="94">
        <v>68600</v>
      </c>
      <c r="I193" s="103">
        <v>10000</v>
      </c>
      <c r="J193" s="107">
        <v>78600</v>
      </c>
      <c r="K193" s="107">
        <v>78600</v>
      </c>
      <c r="L193" s="84" t="s">
        <v>359</v>
      </c>
      <c r="M193" s="110">
        <v>0</v>
      </c>
    </row>
    <row r="194" spans="1:13" x14ac:dyDescent="0.25">
      <c r="A194" s="1">
        <f t="shared" si="4"/>
        <v>119</v>
      </c>
      <c r="B194" s="31" t="s">
        <v>363</v>
      </c>
      <c r="C194" s="58" t="s">
        <v>331</v>
      </c>
      <c r="D194" s="70" t="s">
        <v>335</v>
      </c>
      <c r="E194" s="96">
        <v>1066</v>
      </c>
      <c r="F194" s="96">
        <v>1071</v>
      </c>
      <c r="G194" s="87">
        <v>5</v>
      </c>
      <c r="H194" s="94">
        <v>20200</v>
      </c>
      <c r="I194" s="103">
        <v>6500</v>
      </c>
      <c r="J194" s="107">
        <v>26700</v>
      </c>
      <c r="K194" s="107">
        <v>26700</v>
      </c>
      <c r="L194" s="84" t="s">
        <v>359</v>
      </c>
      <c r="M194" s="110">
        <v>0</v>
      </c>
    </row>
    <row r="195" spans="1:13" x14ac:dyDescent="0.25">
      <c r="A195" s="1">
        <f t="shared" si="4"/>
        <v>120</v>
      </c>
      <c r="B195" s="31" t="s">
        <v>332</v>
      </c>
      <c r="C195" s="58" t="s">
        <v>333</v>
      </c>
      <c r="D195" s="70" t="s">
        <v>335</v>
      </c>
      <c r="E195" s="96">
        <v>854</v>
      </c>
      <c r="F195" s="96">
        <v>876</v>
      </c>
      <c r="G195" s="87">
        <v>22</v>
      </c>
      <c r="H195" s="94">
        <v>0</v>
      </c>
      <c r="I195" s="103">
        <v>18400</v>
      </c>
      <c r="J195" s="107">
        <v>18400</v>
      </c>
      <c r="K195" s="107">
        <v>18400</v>
      </c>
      <c r="L195" s="85" t="s">
        <v>358</v>
      </c>
      <c r="M195" s="110">
        <v>0</v>
      </c>
    </row>
    <row r="196" spans="1:13" x14ac:dyDescent="0.25">
      <c r="A196" s="1">
        <f t="shared" si="4"/>
        <v>121</v>
      </c>
      <c r="B196" s="31"/>
      <c r="C196" s="58"/>
      <c r="D196" s="53"/>
      <c r="E196" s="95"/>
      <c r="F196" s="97"/>
      <c r="G196" s="97"/>
      <c r="H196" s="114"/>
      <c r="I196" s="104"/>
      <c r="J196" s="91"/>
      <c r="K196" s="91"/>
      <c r="L196" s="89"/>
      <c r="M196" s="112"/>
    </row>
    <row r="197" spans="1:13" x14ac:dyDescent="0.25">
      <c r="A197" s="1">
        <f t="shared" si="4"/>
        <v>122</v>
      </c>
      <c r="B197" s="31"/>
      <c r="C197" s="58"/>
      <c r="D197" s="53"/>
      <c r="E197" s="95"/>
      <c r="F197" s="97"/>
      <c r="G197" s="97"/>
      <c r="H197" s="114"/>
      <c r="I197" s="104"/>
      <c r="J197" s="91"/>
      <c r="K197" s="91"/>
      <c r="L197" s="89"/>
      <c r="M197" s="112"/>
    </row>
    <row r="198" spans="1:13" x14ac:dyDescent="0.25">
      <c r="A198" s="1">
        <f t="shared" si="4"/>
        <v>123</v>
      </c>
      <c r="B198" s="31"/>
      <c r="C198" s="58"/>
      <c r="D198" s="53"/>
      <c r="E198" s="95"/>
      <c r="F198" s="97"/>
      <c r="G198" s="97"/>
      <c r="H198" s="114"/>
      <c r="I198" s="104"/>
      <c r="J198" s="91"/>
      <c r="K198" s="91"/>
      <c r="L198" s="89"/>
      <c r="M198" s="112"/>
    </row>
    <row r="199" spans="1:13" x14ac:dyDescent="0.25">
      <c r="A199" s="1">
        <f t="shared" si="4"/>
        <v>124</v>
      </c>
      <c r="B199" s="31"/>
      <c r="C199" s="58"/>
      <c r="D199" s="53"/>
      <c r="E199" s="95"/>
      <c r="F199" s="97"/>
      <c r="G199" s="97"/>
      <c r="H199" s="114"/>
      <c r="I199" s="104"/>
      <c r="J199" s="91"/>
      <c r="K199" s="91"/>
      <c r="L199" s="89"/>
      <c r="M199" s="112"/>
    </row>
    <row r="200" spans="1:13" x14ac:dyDescent="0.25">
      <c r="A200" s="1">
        <f t="shared" si="4"/>
        <v>125</v>
      </c>
      <c r="B200" s="31"/>
      <c r="C200" s="58"/>
      <c r="D200" s="52"/>
      <c r="E200" s="98"/>
      <c r="F200" s="97"/>
      <c r="G200" s="97"/>
      <c r="H200" s="114"/>
      <c r="I200" s="104"/>
      <c r="J200" s="91"/>
      <c r="K200" s="91"/>
      <c r="L200" s="89"/>
      <c r="M200" s="112"/>
    </row>
    <row r="201" spans="1:13" x14ac:dyDescent="0.25">
      <c r="A201" s="1">
        <f t="shared" si="4"/>
        <v>126</v>
      </c>
      <c r="B201" s="31"/>
      <c r="C201" s="58"/>
      <c r="D201" s="52"/>
      <c r="E201" s="98"/>
      <c r="F201" s="97"/>
      <c r="G201" s="97"/>
      <c r="H201" s="114"/>
      <c r="I201" s="104"/>
      <c r="J201" s="91"/>
      <c r="K201" s="91"/>
      <c r="L201" s="89"/>
      <c r="M201" s="112"/>
    </row>
    <row r="202" spans="1:13" x14ac:dyDescent="0.25">
      <c r="A202" s="1">
        <f t="shared" si="4"/>
        <v>127</v>
      </c>
      <c r="B202" s="31"/>
      <c r="C202" s="58"/>
      <c r="D202" s="52"/>
      <c r="E202" s="98"/>
      <c r="F202" s="97"/>
      <c r="G202" s="97"/>
      <c r="H202" s="114"/>
      <c r="I202" s="104"/>
      <c r="J202" s="91"/>
      <c r="K202" s="91"/>
      <c r="L202" s="89"/>
      <c r="M202" s="112"/>
    </row>
    <row r="203" spans="1:13" x14ac:dyDescent="0.25">
      <c r="A203" s="1">
        <f t="shared" si="4"/>
        <v>128</v>
      </c>
      <c r="B203" s="31"/>
      <c r="C203" s="58"/>
      <c r="D203" s="15"/>
      <c r="E203" s="99"/>
      <c r="F203" s="100"/>
      <c r="G203" s="100"/>
      <c r="H203" s="115"/>
      <c r="I203" s="105"/>
      <c r="J203" s="91"/>
      <c r="K203" s="91"/>
      <c r="L203" s="89"/>
      <c r="M203" s="112"/>
    </row>
    <row r="204" spans="1:13" x14ac:dyDescent="0.25">
      <c r="A204" s="1">
        <f t="shared" si="4"/>
        <v>129</v>
      </c>
      <c r="B204" s="31"/>
      <c r="C204" s="58"/>
      <c r="D204" s="15"/>
      <c r="E204" s="99"/>
      <c r="F204" s="100"/>
      <c r="G204" s="100"/>
      <c r="H204" s="115"/>
      <c r="I204" s="105"/>
      <c r="J204" s="91"/>
      <c r="K204" s="91"/>
      <c r="L204" s="89"/>
      <c r="M204" s="112"/>
    </row>
    <row r="205" spans="1:13" x14ac:dyDescent="0.25">
      <c r="A205" s="1">
        <f>A204+1</f>
        <v>130</v>
      </c>
      <c r="B205" s="31"/>
      <c r="C205" s="58"/>
      <c r="D205" s="15"/>
      <c r="E205" s="99"/>
      <c r="F205" s="100"/>
      <c r="G205" s="100"/>
      <c r="H205" s="115"/>
      <c r="I205" s="105"/>
      <c r="J205" s="91"/>
      <c r="K205" s="91"/>
      <c r="L205" s="89"/>
      <c r="M205" s="112"/>
    </row>
    <row r="206" spans="1:13" x14ac:dyDescent="0.25">
      <c r="B206" s="59"/>
      <c r="C206" s="60"/>
      <c r="D206" s="15"/>
      <c r="E206" s="99"/>
      <c r="F206" s="100"/>
      <c r="G206" s="100"/>
      <c r="H206" s="115"/>
      <c r="I206" s="105"/>
      <c r="J206" s="91"/>
      <c r="K206" s="91"/>
      <c r="L206" s="89"/>
      <c r="M206" s="112"/>
    </row>
    <row r="207" spans="1:13" ht="15.75" thickBot="1" x14ac:dyDescent="0.3">
      <c r="A207" s="1">
        <f>A205+1</f>
        <v>131</v>
      </c>
      <c r="B207" s="31"/>
      <c r="C207" s="58"/>
      <c r="D207" s="15"/>
      <c r="E207" s="101"/>
      <c r="F207" s="102"/>
      <c r="G207" s="102"/>
      <c r="H207" s="116"/>
      <c r="I207" s="106"/>
      <c r="J207" s="109"/>
      <c r="K207" s="109"/>
      <c r="L207" s="90"/>
      <c r="M207" s="113"/>
    </row>
  </sheetData>
  <mergeCells count="1">
    <mergeCell ref="A1:C1"/>
  </mergeCells>
  <pageMargins left="0.7" right="0.7" top="0.75" bottom="0.75" header="0.3" footer="0.3"/>
  <pageSetup paperSize="9" orientation="portrait" horizontalDpi="0" verticalDpi="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207"/>
  <sheetViews>
    <sheetView topLeftCell="A146" zoomScale="91" zoomScaleNormal="91" workbookViewId="0">
      <selection activeCell="B160" sqref="B160"/>
    </sheetView>
  </sheetViews>
  <sheetFormatPr baseColWidth="10" defaultRowHeight="15" x14ac:dyDescent="0.25"/>
  <cols>
    <col min="1" max="1" width="5" customWidth="1"/>
    <col min="2" max="2" width="42.5703125" customWidth="1"/>
    <col min="3" max="3" width="12.42578125" customWidth="1"/>
    <col min="6" max="6" width="9.85546875" customWidth="1"/>
    <col min="7" max="7" width="6.140625" customWidth="1"/>
    <col min="8" max="8" width="10.42578125" customWidth="1"/>
    <col min="17" max="17" width="11" customWidth="1"/>
  </cols>
  <sheetData>
    <row r="1" spans="1:13" x14ac:dyDescent="0.25">
      <c r="A1" s="378" t="s">
        <v>8</v>
      </c>
      <c r="B1" s="378"/>
      <c r="C1" s="378"/>
      <c r="D1" s="132"/>
      <c r="E1" s="131"/>
      <c r="F1" s="151" t="s">
        <v>94</v>
      </c>
      <c r="G1" s="131"/>
      <c r="H1" s="131"/>
      <c r="I1" s="131"/>
      <c r="J1" s="133"/>
    </row>
    <row r="2" spans="1:13" x14ac:dyDescent="0.25">
      <c r="A2" s="91" t="s">
        <v>3</v>
      </c>
      <c r="B2" s="128" t="s">
        <v>0</v>
      </c>
      <c r="C2" s="128" t="s">
        <v>1</v>
      </c>
      <c r="D2" s="129" t="s">
        <v>2</v>
      </c>
      <c r="E2" s="129" t="s">
        <v>336</v>
      </c>
      <c r="F2" s="129" t="s">
        <v>337</v>
      </c>
      <c r="G2" s="128" t="s">
        <v>10</v>
      </c>
      <c r="H2" s="129" t="s">
        <v>356</v>
      </c>
      <c r="I2" s="129" t="s">
        <v>357</v>
      </c>
      <c r="J2" s="128" t="s">
        <v>11</v>
      </c>
      <c r="K2" s="129" t="s">
        <v>12</v>
      </c>
      <c r="L2" s="129" t="s">
        <v>355</v>
      </c>
      <c r="M2" s="130" t="s">
        <v>13</v>
      </c>
    </row>
    <row r="3" spans="1:13" x14ac:dyDescent="0.25">
      <c r="A3" s="9">
        <v>1</v>
      </c>
      <c r="B3" s="160" t="s">
        <v>14</v>
      </c>
      <c r="C3" s="161" t="s">
        <v>100</v>
      </c>
      <c r="D3" s="154" t="s">
        <v>5</v>
      </c>
      <c r="E3" s="155">
        <v>1579</v>
      </c>
      <c r="F3" s="155">
        <v>1585</v>
      </c>
      <c r="G3" s="156">
        <v>6</v>
      </c>
      <c r="H3" s="157">
        <v>0</v>
      </c>
      <c r="I3" s="158">
        <v>3600</v>
      </c>
      <c r="J3" s="157">
        <v>3600</v>
      </c>
      <c r="K3" s="157"/>
      <c r="L3" s="159"/>
      <c r="M3" s="157">
        <v>3600</v>
      </c>
    </row>
    <row r="4" spans="1:13" x14ac:dyDescent="0.25">
      <c r="A4" s="1">
        <f>A3+1</f>
        <v>2</v>
      </c>
      <c r="B4" s="1" t="s">
        <v>15</v>
      </c>
      <c r="C4" s="4"/>
      <c r="D4" s="70" t="s">
        <v>5</v>
      </c>
      <c r="E4" s="96">
        <v>1</v>
      </c>
      <c r="F4" s="96">
        <v>1</v>
      </c>
      <c r="G4" s="87">
        <v>0</v>
      </c>
      <c r="H4" s="110">
        <v>0</v>
      </c>
      <c r="I4" s="103">
        <v>3000</v>
      </c>
      <c r="J4" s="107">
        <v>3000</v>
      </c>
      <c r="K4" s="107"/>
      <c r="L4" s="85"/>
      <c r="M4" s="110">
        <v>3000</v>
      </c>
    </row>
    <row r="5" spans="1:13" x14ac:dyDescent="0.25">
      <c r="A5" s="160">
        <f t="shared" ref="A5:A50" si="0">A4+1</f>
        <v>3</v>
      </c>
      <c r="B5" s="160" t="s">
        <v>16</v>
      </c>
      <c r="C5" s="161" t="s">
        <v>101</v>
      </c>
      <c r="D5" s="154" t="s">
        <v>5</v>
      </c>
      <c r="E5" s="155">
        <v>2226</v>
      </c>
      <c r="F5" s="155">
        <v>2246</v>
      </c>
      <c r="G5" s="156">
        <v>20</v>
      </c>
      <c r="H5" s="157">
        <v>0</v>
      </c>
      <c r="I5" s="158">
        <v>12000</v>
      </c>
      <c r="J5" s="157">
        <v>12000</v>
      </c>
      <c r="K5" s="157">
        <v>12000</v>
      </c>
      <c r="L5" s="159" t="s">
        <v>399</v>
      </c>
      <c r="M5" s="157">
        <v>0</v>
      </c>
    </row>
    <row r="6" spans="1:13" x14ac:dyDescent="0.25">
      <c r="A6" s="1">
        <f t="shared" si="0"/>
        <v>4</v>
      </c>
      <c r="B6" s="1" t="s">
        <v>17</v>
      </c>
      <c r="C6" s="4" t="s">
        <v>373</v>
      </c>
      <c r="D6" s="70" t="s">
        <v>5</v>
      </c>
      <c r="E6" s="96">
        <v>2630</v>
      </c>
      <c r="F6" s="96">
        <v>2642</v>
      </c>
      <c r="G6" s="87">
        <v>12</v>
      </c>
      <c r="H6" s="110">
        <v>24900</v>
      </c>
      <c r="I6" s="103">
        <v>11400</v>
      </c>
      <c r="J6" s="107">
        <v>36300</v>
      </c>
      <c r="K6" s="107">
        <v>36600</v>
      </c>
      <c r="L6" s="85" t="s">
        <v>358</v>
      </c>
      <c r="M6" s="110">
        <v>0</v>
      </c>
    </row>
    <row r="7" spans="1:13" x14ac:dyDescent="0.25">
      <c r="A7" s="1">
        <f t="shared" si="0"/>
        <v>5</v>
      </c>
      <c r="B7" s="1" t="s">
        <v>18</v>
      </c>
      <c r="C7" s="4" t="s">
        <v>377</v>
      </c>
      <c r="D7" s="70" t="s">
        <v>5</v>
      </c>
      <c r="E7" s="96">
        <v>2022</v>
      </c>
      <c r="F7" s="96">
        <v>2033</v>
      </c>
      <c r="G7" s="87">
        <v>11</v>
      </c>
      <c r="H7" s="110">
        <v>0</v>
      </c>
      <c r="I7" s="103">
        <v>10700</v>
      </c>
      <c r="J7" s="107">
        <v>10700</v>
      </c>
      <c r="K7" s="107">
        <v>10700</v>
      </c>
      <c r="L7" s="85" t="s">
        <v>358</v>
      </c>
      <c r="M7" s="110">
        <v>0</v>
      </c>
    </row>
    <row r="8" spans="1:13" x14ac:dyDescent="0.25">
      <c r="A8" s="1">
        <f t="shared" si="0"/>
        <v>6</v>
      </c>
      <c r="B8" s="1" t="s">
        <v>19</v>
      </c>
      <c r="C8" s="4"/>
      <c r="D8" s="70" t="s">
        <v>5</v>
      </c>
      <c r="E8" s="96">
        <v>358</v>
      </c>
      <c r="F8" s="96">
        <v>368</v>
      </c>
      <c r="G8" s="87">
        <v>10</v>
      </c>
      <c r="H8" s="110">
        <v>0</v>
      </c>
      <c r="I8" s="103">
        <v>10000</v>
      </c>
      <c r="J8" s="107">
        <v>10000</v>
      </c>
      <c r="K8" s="91"/>
      <c r="L8" s="85"/>
      <c r="M8" s="110">
        <v>10000</v>
      </c>
    </row>
    <row r="9" spans="1:13" x14ac:dyDescent="0.25">
      <c r="A9" s="1">
        <f t="shared" si="0"/>
        <v>7</v>
      </c>
      <c r="B9" s="1" t="s">
        <v>20</v>
      </c>
      <c r="C9" s="4"/>
      <c r="D9" s="70" t="s">
        <v>5</v>
      </c>
      <c r="E9" s="96">
        <v>5680</v>
      </c>
      <c r="F9" s="96">
        <v>5712</v>
      </c>
      <c r="G9" s="87">
        <v>32</v>
      </c>
      <c r="H9" s="110">
        <v>0</v>
      </c>
      <c r="I9" s="103">
        <v>32050</v>
      </c>
      <c r="J9" s="107">
        <v>32050</v>
      </c>
      <c r="K9" s="107">
        <v>32050</v>
      </c>
      <c r="L9" s="85" t="s">
        <v>358</v>
      </c>
      <c r="M9" s="110">
        <v>0</v>
      </c>
    </row>
    <row r="10" spans="1:13" x14ac:dyDescent="0.25">
      <c r="A10" s="1">
        <f t="shared" si="0"/>
        <v>8</v>
      </c>
      <c r="B10" s="1" t="s">
        <v>21</v>
      </c>
      <c r="C10" s="4" t="s">
        <v>378</v>
      </c>
      <c r="D10" s="70" t="s">
        <v>5</v>
      </c>
      <c r="E10" s="96">
        <v>1715</v>
      </c>
      <c r="F10" s="96">
        <v>1730</v>
      </c>
      <c r="G10" s="87">
        <v>15</v>
      </c>
      <c r="H10" s="110">
        <v>20500</v>
      </c>
      <c r="I10" s="103">
        <v>23500</v>
      </c>
      <c r="J10" s="107">
        <v>34000</v>
      </c>
      <c r="K10" s="107">
        <v>34000</v>
      </c>
      <c r="L10" s="85" t="s">
        <v>358</v>
      </c>
      <c r="M10" s="110">
        <v>0</v>
      </c>
    </row>
    <row r="11" spans="1:13" x14ac:dyDescent="0.25">
      <c r="A11" s="1">
        <f t="shared" si="0"/>
        <v>9</v>
      </c>
      <c r="B11" s="1" t="s">
        <v>22</v>
      </c>
      <c r="C11" s="4" t="s">
        <v>379</v>
      </c>
      <c r="D11" s="70" t="s">
        <v>5</v>
      </c>
      <c r="E11" s="96">
        <v>447</v>
      </c>
      <c r="F11" s="96">
        <v>455</v>
      </c>
      <c r="G11" s="87">
        <v>8</v>
      </c>
      <c r="H11" s="110">
        <v>0</v>
      </c>
      <c r="I11" s="103">
        <v>8600</v>
      </c>
      <c r="J11" s="107">
        <v>8600</v>
      </c>
      <c r="K11" s="91"/>
      <c r="L11" s="85"/>
      <c r="M11" s="110">
        <v>8600</v>
      </c>
    </row>
    <row r="12" spans="1:13" x14ac:dyDescent="0.25">
      <c r="A12" s="1">
        <f t="shared" si="0"/>
        <v>10</v>
      </c>
      <c r="B12" s="1" t="s">
        <v>380</v>
      </c>
      <c r="C12" s="4" t="s">
        <v>386</v>
      </c>
      <c r="D12" s="70" t="s">
        <v>5</v>
      </c>
      <c r="E12" s="96">
        <v>9356</v>
      </c>
      <c r="F12" s="96">
        <v>9447</v>
      </c>
      <c r="G12" s="87">
        <v>91</v>
      </c>
      <c r="H12" s="110"/>
      <c r="I12" s="103">
        <v>114650</v>
      </c>
      <c r="J12" s="107"/>
      <c r="K12" s="91"/>
      <c r="L12" s="85"/>
      <c r="M12" s="110" t="s">
        <v>426</v>
      </c>
    </row>
    <row r="13" spans="1:13" x14ac:dyDescent="0.25">
      <c r="A13" s="1">
        <f t="shared" si="0"/>
        <v>11</v>
      </c>
      <c r="B13" s="1" t="s">
        <v>24</v>
      </c>
      <c r="C13" s="4" t="s">
        <v>382</v>
      </c>
      <c r="D13" s="70" t="s">
        <v>5</v>
      </c>
      <c r="E13" s="96">
        <v>3291</v>
      </c>
      <c r="F13" s="96">
        <v>3299</v>
      </c>
      <c r="G13" s="87">
        <v>8</v>
      </c>
      <c r="H13" s="110">
        <v>9300</v>
      </c>
      <c r="I13" s="103">
        <v>8600</v>
      </c>
      <c r="J13" s="107">
        <v>17900</v>
      </c>
      <c r="K13" s="107">
        <v>17900</v>
      </c>
      <c r="L13" s="85" t="s">
        <v>358</v>
      </c>
      <c r="M13" s="110">
        <v>0</v>
      </c>
    </row>
    <row r="14" spans="1:13" x14ac:dyDescent="0.25">
      <c r="A14" s="1">
        <f t="shared" si="0"/>
        <v>12</v>
      </c>
      <c r="B14" s="1" t="s">
        <v>25</v>
      </c>
      <c r="C14" s="4" t="s">
        <v>383</v>
      </c>
      <c r="D14" s="70" t="s">
        <v>5</v>
      </c>
      <c r="E14" s="96">
        <v>1035</v>
      </c>
      <c r="F14" s="96">
        <v>1049</v>
      </c>
      <c r="G14" s="87">
        <v>14</v>
      </c>
      <c r="H14" s="110">
        <v>0</v>
      </c>
      <c r="I14" s="103">
        <v>12800</v>
      </c>
      <c r="J14" s="107">
        <v>12800</v>
      </c>
      <c r="K14" s="107">
        <v>12800</v>
      </c>
      <c r="L14" s="85" t="s">
        <v>358</v>
      </c>
      <c r="M14" s="110">
        <v>0</v>
      </c>
    </row>
    <row r="15" spans="1:13" x14ac:dyDescent="0.25">
      <c r="A15" s="1">
        <f t="shared" si="0"/>
        <v>13</v>
      </c>
      <c r="B15" s="1" t="s">
        <v>26</v>
      </c>
      <c r="C15" s="4" t="s">
        <v>384</v>
      </c>
      <c r="D15" s="70" t="s">
        <v>5</v>
      </c>
      <c r="E15" s="96">
        <v>2324</v>
      </c>
      <c r="F15" s="96">
        <v>2328</v>
      </c>
      <c r="G15" s="87">
        <v>4</v>
      </c>
      <c r="H15" s="110">
        <v>0</v>
      </c>
      <c r="I15" s="103">
        <v>5800</v>
      </c>
      <c r="J15" s="107">
        <v>5800</v>
      </c>
      <c r="K15" s="107"/>
      <c r="L15" s="85"/>
      <c r="M15" s="110">
        <v>5800</v>
      </c>
    </row>
    <row r="16" spans="1:13" x14ac:dyDescent="0.25">
      <c r="A16" s="1">
        <f t="shared" si="0"/>
        <v>14</v>
      </c>
      <c r="B16" s="1" t="s">
        <v>381</v>
      </c>
      <c r="C16" s="4" t="s">
        <v>386</v>
      </c>
      <c r="D16" s="70" t="s">
        <v>5</v>
      </c>
      <c r="E16" s="96">
        <v>2015</v>
      </c>
      <c r="F16" s="96">
        <v>2030</v>
      </c>
      <c r="G16" s="87">
        <v>15</v>
      </c>
      <c r="H16" s="110"/>
      <c r="I16" s="103">
        <v>13500</v>
      </c>
      <c r="J16" s="107">
        <v>13500</v>
      </c>
      <c r="K16" s="91"/>
      <c r="L16" s="85"/>
      <c r="M16" s="110" t="s">
        <v>426</v>
      </c>
    </row>
    <row r="17" spans="1:14" x14ac:dyDescent="0.25">
      <c r="A17" s="1">
        <f t="shared" si="0"/>
        <v>15</v>
      </c>
      <c r="B17" s="31" t="s">
        <v>367</v>
      </c>
      <c r="C17" s="4" t="s">
        <v>385</v>
      </c>
      <c r="D17" s="70" t="s">
        <v>5</v>
      </c>
      <c r="E17" s="96">
        <v>2252</v>
      </c>
      <c r="F17" s="96">
        <v>2252</v>
      </c>
      <c r="G17" s="87">
        <v>0</v>
      </c>
      <c r="H17" s="110">
        <v>13400</v>
      </c>
      <c r="I17" s="103">
        <v>3000</v>
      </c>
      <c r="J17" s="107">
        <v>16400</v>
      </c>
      <c r="K17" s="107">
        <v>16400</v>
      </c>
      <c r="L17" s="85" t="s">
        <v>358</v>
      </c>
      <c r="M17" s="110">
        <v>0</v>
      </c>
    </row>
    <row r="18" spans="1:14" x14ac:dyDescent="0.25">
      <c r="A18" s="1">
        <f t="shared" si="0"/>
        <v>16</v>
      </c>
      <c r="B18" s="1" t="s">
        <v>29</v>
      </c>
      <c r="C18" s="4" t="s">
        <v>387</v>
      </c>
      <c r="D18" s="70" t="s">
        <v>7</v>
      </c>
      <c r="E18" s="96">
        <v>1097</v>
      </c>
      <c r="F18" s="96">
        <v>1098</v>
      </c>
      <c r="G18" s="87">
        <v>1</v>
      </c>
      <c r="H18" s="110">
        <v>6000</v>
      </c>
      <c r="I18" s="103">
        <v>3700</v>
      </c>
      <c r="J18" s="107">
        <v>9700</v>
      </c>
      <c r="K18" s="107">
        <v>9700</v>
      </c>
      <c r="L18" s="85" t="s">
        <v>358</v>
      </c>
      <c r="M18" s="110">
        <v>0</v>
      </c>
    </row>
    <row r="19" spans="1:14" x14ac:dyDescent="0.25">
      <c r="A19" s="1">
        <f t="shared" si="0"/>
        <v>17</v>
      </c>
      <c r="B19" s="1" t="s">
        <v>30</v>
      </c>
      <c r="C19" s="4" t="s">
        <v>388</v>
      </c>
      <c r="D19" s="70" t="s">
        <v>5</v>
      </c>
      <c r="E19" s="96">
        <v>864</v>
      </c>
      <c r="F19" s="96">
        <v>864</v>
      </c>
      <c r="G19" s="87">
        <v>0</v>
      </c>
      <c r="H19" s="110">
        <v>0</v>
      </c>
      <c r="I19" s="103">
        <v>3000</v>
      </c>
      <c r="J19" s="103">
        <v>3000</v>
      </c>
      <c r="K19" s="107"/>
      <c r="L19" s="85"/>
      <c r="M19" s="110">
        <v>3000</v>
      </c>
    </row>
    <row r="20" spans="1:14" x14ac:dyDescent="0.25">
      <c r="A20" s="1">
        <f t="shared" si="0"/>
        <v>18</v>
      </c>
      <c r="B20" s="1" t="s">
        <v>338</v>
      </c>
      <c r="C20" s="4" t="s">
        <v>339</v>
      </c>
      <c r="D20" s="70" t="s">
        <v>5</v>
      </c>
      <c r="E20" s="96">
        <v>1430</v>
      </c>
      <c r="F20" s="96">
        <v>1448</v>
      </c>
      <c r="G20" s="87">
        <v>18</v>
      </c>
      <c r="H20" s="110">
        <v>95800</v>
      </c>
      <c r="I20" s="103">
        <v>16650</v>
      </c>
      <c r="J20" s="107">
        <v>112450</v>
      </c>
      <c r="K20" s="107">
        <v>20000</v>
      </c>
      <c r="L20" s="84" t="s">
        <v>358</v>
      </c>
      <c r="M20" s="110">
        <v>0</v>
      </c>
    </row>
    <row r="21" spans="1:14" x14ac:dyDescent="0.25">
      <c r="A21" s="1">
        <f t="shared" si="0"/>
        <v>19</v>
      </c>
      <c r="B21" s="1" t="s">
        <v>32</v>
      </c>
      <c r="C21" s="4" t="s">
        <v>389</v>
      </c>
      <c r="D21" s="70" t="s">
        <v>5</v>
      </c>
      <c r="E21" s="96">
        <v>3</v>
      </c>
      <c r="F21" s="96">
        <v>3</v>
      </c>
      <c r="G21" s="87">
        <v>0</v>
      </c>
      <c r="H21" s="110">
        <v>15000</v>
      </c>
      <c r="I21" s="103">
        <v>3000</v>
      </c>
      <c r="J21" s="107">
        <v>18000</v>
      </c>
      <c r="K21" s="107">
        <v>10000</v>
      </c>
      <c r="L21" s="85" t="s">
        <v>358</v>
      </c>
      <c r="M21" s="110">
        <v>8000</v>
      </c>
    </row>
    <row r="22" spans="1:14" x14ac:dyDescent="0.25">
      <c r="A22" s="1">
        <f t="shared" si="0"/>
        <v>20</v>
      </c>
      <c r="B22" s="1" t="s">
        <v>33</v>
      </c>
      <c r="C22" s="4" t="s">
        <v>390</v>
      </c>
      <c r="D22" s="70" t="s">
        <v>5</v>
      </c>
      <c r="E22" s="96">
        <v>2094</v>
      </c>
      <c r="F22" s="96">
        <v>2112</v>
      </c>
      <c r="G22" s="87">
        <v>18</v>
      </c>
      <c r="H22" s="110">
        <v>12800</v>
      </c>
      <c r="I22" s="103">
        <v>16650</v>
      </c>
      <c r="J22" s="108">
        <v>29450</v>
      </c>
      <c r="K22" s="107">
        <v>29450</v>
      </c>
      <c r="L22" s="85" t="s">
        <v>358</v>
      </c>
      <c r="M22" s="110">
        <v>0</v>
      </c>
    </row>
    <row r="23" spans="1:14" x14ac:dyDescent="0.25">
      <c r="A23" s="1">
        <f t="shared" si="0"/>
        <v>21</v>
      </c>
      <c r="B23" s="1" t="s">
        <v>372</v>
      </c>
      <c r="C23" s="4" t="s">
        <v>391</v>
      </c>
      <c r="D23" s="70" t="s">
        <v>5</v>
      </c>
      <c r="E23" s="96">
        <v>3170</v>
      </c>
      <c r="F23" s="96">
        <v>3180</v>
      </c>
      <c r="G23" s="87">
        <v>10</v>
      </c>
      <c r="H23" s="110">
        <v>0</v>
      </c>
      <c r="I23" s="103">
        <v>10000</v>
      </c>
      <c r="J23" s="107">
        <v>10000</v>
      </c>
      <c r="K23" s="107">
        <v>10000</v>
      </c>
      <c r="L23" s="85" t="s">
        <v>358</v>
      </c>
      <c r="M23" s="110">
        <v>0</v>
      </c>
    </row>
    <row r="24" spans="1:14" x14ac:dyDescent="0.25">
      <c r="A24" s="1">
        <f t="shared" si="0"/>
        <v>22</v>
      </c>
      <c r="B24" s="1" t="s">
        <v>35</v>
      </c>
      <c r="C24" s="4" t="s">
        <v>340</v>
      </c>
      <c r="D24" s="70" t="s">
        <v>5</v>
      </c>
      <c r="E24" s="96">
        <v>88</v>
      </c>
      <c r="F24" s="96">
        <v>88</v>
      </c>
      <c r="G24" s="87">
        <v>0</v>
      </c>
      <c r="H24" s="110">
        <v>39000</v>
      </c>
      <c r="I24" s="103">
        <v>3000</v>
      </c>
      <c r="J24" s="107">
        <v>42000</v>
      </c>
      <c r="K24" s="107">
        <v>35000</v>
      </c>
      <c r="L24" s="85" t="s">
        <v>399</v>
      </c>
      <c r="M24" s="110">
        <v>7000</v>
      </c>
    </row>
    <row r="25" spans="1:14" x14ac:dyDescent="0.25">
      <c r="A25" s="1">
        <f t="shared" si="0"/>
        <v>23</v>
      </c>
      <c r="B25" s="160" t="s">
        <v>36</v>
      </c>
      <c r="C25" s="161" t="s">
        <v>341</v>
      </c>
      <c r="D25" s="154" t="s">
        <v>5</v>
      </c>
      <c r="E25" s="155">
        <v>1755</v>
      </c>
      <c r="F25" s="155">
        <v>1770</v>
      </c>
      <c r="G25" s="156">
        <v>15</v>
      </c>
      <c r="H25" s="157">
        <v>0</v>
      </c>
      <c r="I25" s="158">
        <v>6750</v>
      </c>
      <c r="J25" s="157">
        <v>6750</v>
      </c>
      <c r="K25" s="157">
        <v>6750</v>
      </c>
      <c r="L25" s="159" t="s">
        <v>358</v>
      </c>
      <c r="M25" s="157">
        <v>0</v>
      </c>
    </row>
    <row r="26" spans="1:14" x14ac:dyDescent="0.25">
      <c r="A26" s="1">
        <f t="shared" si="0"/>
        <v>24</v>
      </c>
      <c r="B26" s="1" t="s">
        <v>37</v>
      </c>
      <c r="C26" s="4" t="s">
        <v>342</v>
      </c>
      <c r="D26" s="70" t="s">
        <v>5</v>
      </c>
      <c r="E26" s="96">
        <v>581</v>
      </c>
      <c r="F26" s="96">
        <v>586</v>
      </c>
      <c r="G26" s="87">
        <v>5</v>
      </c>
      <c r="H26" s="110">
        <v>0</v>
      </c>
      <c r="I26" s="103">
        <v>6500</v>
      </c>
      <c r="J26" s="107">
        <v>2500</v>
      </c>
      <c r="K26" s="107"/>
      <c r="L26" s="85"/>
      <c r="M26" s="110">
        <v>2500</v>
      </c>
    </row>
    <row r="27" spans="1:14" x14ac:dyDescent="0.25">
      <c r="A27" s="1">
        <f t="shared" si="0"/>
        <v>25</v>
      </c>
      <c r="B27" s="1" t="s">
        <v>38</v>
      </c>
      <c r="C27" s="4" t="s">
        <v>343</v>
      </c>
      <c r="D27" s="70" t="s">
        <v>5</v>
      </c>
      <c r="E27" s="96">
        <v>790</v>
      </c>
      <c r="F27" s="96">
        <v>797</v>
      </c>
      <c r="G27" s="87">
        <v>7</v>
      </c>
      <c r="H27" s="110">
        <v>120300</v>
      </c>
      <c r="I27" s="103">
        <v>7900</v>
      </c>
      <c r="J27" s="107">
        <v>18590</v>
      </c>
      <c r="K27" s="107">
        <v>18590</v>
      </c>
      <c r="L27" s="85" t="s">
        <v>358</v>
      </c>
      <c r="M27" s="110">
        <v>10690</v>
      </c>
    </row>
    <row r="28" spans="1:14" x14ac:dyDescent="0.25">
      <c r="A28" s="1">
        <f t="shared" si="0"/>
        <v>26</v>
      </c>
      <c r="B28" s="1" t="s">
        <v>39</v>
      </c>
      <c r="C28" s="4" t="s">
        <v>344</v>
      </c>
      <c r="D28" s="70" t="s">
        <v>5</v>
      </c>
      <c r="E28" s="96">
        <v>1920</v>
      </c>
      <c r="F28" s="96">
        <v>1923</v>
      </c>
      <c r="G28" s="87">
        <v>3</v>
      </c>
      <c r="H28" s="110">
        <v>7200</v>
      </c>
      <c r="I28" s="103">
        <v>5100</v>
      </c>
      <c r="J28" s="107">
        <v>12300</v>
      </c>
      <c r="K28" s="91"/>
      <c r="L28" s="85"/>
      <c r="M28" s="110">
        <v>12300</v>
      </c>
    </row>
    <row r="29" spans="1:14" x14ac:dyDescent="0.25">
      <c r="A29" s="1">
        <f t="shared" si="0"/>
        <v>27</v>
      </c>
      <c r="B29" s="1" t="s">
        <v>40</v>
      </c>
      <c r="C29" s="4" t="s">
        <v>345</v>
      </c>
      <c r="D29" s="70" t="s">
        <v>5</v>
      </c>
      <c r="E29" s="96">
        <v>3136</v>
      </c>
      <c r="F29" s="96">
        <v>3147</v>
      </c>
      <c r="G29" s="87">
        <v>11</v>
      </c>
      <c r="H29" s="110">
        <v>120700</v>
      </c>
      <c r="I29" s="103">
        <v>10700</v>
      </c>
      <c r="J29" s="107">
        <v>131400</v>
      </c>
      <c r="K29" s="107">
        <v>31400</v>
      </c>
      <c r="L29" s="85" t="s">
        <v>358</v>
      </c>
      <c r="M29" s="110">
        <v>100000</v>
      </c>
    </row>
    <row r="30" spans="1:14" x14ac:dyDescent="0.25">
      <c r="A30" s="1">
        <f t="shared" si="0"/>
        <v>28</v>
      </c>
      <c r="B30" s="1" t="s">
        <v>41</v>
      </c>
      <c r="C30" s="4"/>
      <c r="D30" s="70" t="s">
        <v>5</v>
      </c>
      <c r="E30" s="96">
        <v>2420</v>
      </c>
      <c r="F30" s="96">
        <v>2424</v>
      </c>
      <c r="G30" s="87">
        <v>4</v>
      </c>
      <c r="H30" s="110">
        <v>132200</v>
      </c>
      <c r="I30" s="103">
        <v>5800</v>
      </c>
      <c r="J30" s="107">
        <v>138000</v>
      </c>
      <c r="K30" s="107">
        <v>138000</v>
      </c>
      <c r="L30" s="85" t="s">
        <v>358</v>
      </c>
      <c r="M30" s="110">
        <v>0</v>
      </c>
      <c r="N30" t="s">
        <v>423</v>
      </c>
    </row>
    <row r="31" spans="1:14" x14ac:dyDescent="0.25">
      <c r="A31" s="1">
        <f t="shared" si="0"/>
        <v>29</v>
      </c>
      <c r="B31" s="1" t="s">
        <v>42</v>
      </c>
      <c r="C31" s="4" t="s">
        <v>346</v>
      </c>
      <c r="D31" s="70" t="s">
        <v>5</v>
      </c>
      <c r="E31" s="96">
        <v>3880</v>
      </c>
      <c r="F31" s="96">
        <v>3895</v>
      </c>
      <c r="G31" s="87">
        <v>15</v>
      </c>
      <c r="H31" s="110">
        <v>0</v>
      </c>
      <c r="I31" s="103">
        <v>13500</v>
      </c>
      <c r="J31" s="107">
        <v>13500</v>
      </c>
      <c r="K31" s="107">
        <v>13500</v>
      </c>
      <c r="L31" s="85" t="s">
        <v>399</v>
      </c>
      <c r="M31" s="110">
        <v>0</v>
      </c>
    </row>
    <row r="32" spans="1:14" x14ac:dyDescent="0.25">
      <c r="A32" s="1">
        <f t="shared" si="0"/>
        <v>30</v>
      </c>
      <c r="B32" s="1" t="s">
        <v>43</v>
      </c>
      <c r="C32" s="4" t="s">
        <v>347</v>
      </c>
      <c r="D32" s="70" t="s">
        <v>5</v>
      </c>
      <c r="E32" s="96">
        <v>2928</v>
      </c>
      <c r="F32" s="96">
        <v>2951</v>
      </c>
      <c r="G32" s="87">
        <v>23</v>
      </c>
      <c r="H32" s="110">
        <v>0</v>
      </c>
      <c r="I32" s="103">
        <v>21900</v>
      </c>
      <c r="J32" s="103">
        <v>21900</v>
      </c>
      <c r="K32" s="107">
        <v>21900</v>
      </c>
      <c r="L32" s="85" t="s">
        <v>358</v>
      </c>
      <c r="M32" s="110">
        <v>0</v>
      </c>
    </row>
    <row r="33" spans="1:14" x14ac:dyDescent="0.25">
      <c r="A33" s="1">
        <f t="shared" si="0"/>
        <v>31</v>
      </c>
      <c r="B33" s="1" t="s">
        <v>44</v>
      </c>
      <c r="C33" s="4" t="s">
        <v>348</v>
      </c>
      <c r="D33" s="70" t="s">
        <v>5</v>
      </c>
      <c r="E33" s="96">
        <v>4728</v>
      </c>
      <c r="F33" s="96">
        <v>4755</v>
      </c>
      <c r="G33" s="87">
        <v>27</v>
      </c>
      <c r="H33" s="110">
        <v>49300</v>
      </c>
      <c r="I33" s="103">
        <v>26100</v>
      </c>
      <c r="J33" s="107">
        <v>75400</v>
      </c>
      <c r="K33" s="107">
        <v>50000</v>
      </c>
      <c r="L33" s="85" t="s">
        <v>399</v>
      </c>
      <c r="M33" s="110">
        <v>25400</v>
      </c>
    </row>
    <row r="34" spans="1:14" x14ac:dyDescent="0.25">
      <c r="A34" s="1">
        <f t="shared" si="0"/>
        <v>32</v>
      </c>
      <c r="B34" s="1" t="s">
        <v>45</v>
      </c>
      <c r="C34" s="4" t="s">
        <v>392</v>
      </c>
      <c r="D34" s="70" t="s">
        <v>5</v>
      </c>
      <c r="E34" s="96">
        <v>805</v>
      </c>
      <c r="F34" s="96">
        <v>812</v>
      </c>
      <c r="G34" s="87">
        <v>7</v>
      </c>
      <c r="H34" s="110">
        <v>33500</v>
      </c>
      <c r="I34" s="103">
        <v>7900</v>
      </c>
      <c r="J34" s="107">
        <v>41400</v>
      </c>
      <c r="K34" s="107">
        <v>41400</v>
      </c>
      <c r="L34" s="85" t="s">
        <v>358</v>
      </c>
      <c r="M34" s="110">
        <v>0</v>
      </c>
    </row>
    <row r="35" spans="1:14" x14ac:dyDescent="0.25">
      <c r="A35" s="1">
        <f t="shared" si="0"/>
        <v>33</v>
      </c>
      <c r="B35" s="1" t="s">
        <v>360</v>
      </c>
      <c r="C35" s="4" t="s">
        <v>393</v>
      </c>
      <c r="D35" s="70" t="s">
        <v>5</v>
      </c>
      <c r="E35" s="96">
        <v>4437</v>
      </c>
      <c r="F35" s="96">
        <v>4450</v>
      </c>
      <c r="G35" s="87">
        <v>13</v>
      </c>
      <c r="H35" s="110">
        <v>23300</v>
      </c>
      <c r="I35" s="103">
        <v>12100</v>
      </c>
      <c r="J35" s="107">
        <v>35400</v>
      </c>
      <c r="K35" s="107">
        <v>35400</v>
      </c>
      <c r="L35" s="85" t="s">
        <v>358</v>
      </c>
      <c r="M35" s="110">
        <v>0</v>
      </c>
    </row>
    <row r="36" spans="1:14" x14ac:dyDescent="0.25">
      <c r="A36" s="1">
        <f t="shared" si="0"/>
        <v>34</v>
      </c>
      <c r="B36" s="1" t="s">
        <v>46</v>
      </c>
      <c r="C36" s="4" t="s">
        <v>394</v>
      </c>
      <c r="D36" s="70" t="s">
        <v>5</v>
      </c>
      <c r="E36" s="96">
        <v>960</v>
      </c>
      <c r="F36" s="96">
        <v>995</v>
      </c>
      <c r="G36" s="87">
        <v>35</v>
      </c>
      <c r="H36" s="110">
        <v>100</v>
      </c>
      <c r="I36" s="103">
        <v>36250</v>
      </c>
      <c r="J36" s="107">
        <v>36350</v>
      </c>
      <c r="K36" s="108">
        <v>79250</v>
      </c>
      <c r="L36" s="86" t="s">
        <v>399</v>
      </c>
      <c r="M36" s="110">
        <v>0</v>
      </c>
    </row>
    <row r="37" spans="1:14" x14ac:dyDescent="0.25">
      <c r="A37" s="1">
        <f t="shared" si="0"/>
        <v>35</v>
      </c>
      <c r="B37" s="1" t="s">
        <v>47</v>
      </c>
      <c r="C37" s="4" t="s">
        <v>395</v>
      </c>
      <c r="D37" s="70" t="s">
        <v>5</v>
      </c>
      <c r="E37" s="96">
        <v>4280</v>
      </c>
      <c r="F37" s="96">
        <v>4310</v>
      </c>
      <c r="G37" s="87">
        <v>30</v>
      </c>
      <c r="H37" s="110">
        <v>0</v>
      </c>
      <c r="I37" s="103">
        <v>29250</v>
      </c>
      <c r="J37" s="107">
        <v>29250</v>
      </c>
      <c r="K37" s="107">
        <v>29250</v>
      </c>
      <c r="L37" s="85" t="s">
        <v>358</v>
      </c>
      <c r="M37" s="110">
        <v>0</v>
      </c>
    </row>
    <row r="38" spans="1:14" x14ac:dyDescent="0.25">
      <c r="A38" s="1">
        <f t="shared" si="0"/>
        <v>36</v>
      </c>
      <c r="B38" s="160" t="s">
        <v>48</v>
      </c>
      <c r="C38" s="161" t="s">
        <v>396</v>
      </c>
      <c r="D38" s="154" t="s">
        <v>5</v>
      </c>
      <c r="E38" s="155">
        <v>1091</v>
      </c>
      <c r="F38" s="155">
        <v>1095</v>
      </c>
      <c r="G38" s="156">
        <v>4</v>
      </c>
      <c r="H38" s="157">
        <v>0</v>
      </c>
      <c r="I38" s="158">
        <v>2900</v>
      </c>
      <c r="J38" s="157">
        <v>2900</v>
      </c>
      <c r="K38" s="157"/>
      <c r="L38" s="159"/>
      <c r="M38" s="157">
        <v>10490</v>
      </c>
    </row>
    <row r="39" spans="1:14" x14ac:dyDescent="0.25">
      <c r="A39" s="1">
        <f t="shared" si="0"/>
        <v>37</v>
      </c>
      <c r="B39" s="1" t="s">
        <v>398</v>
      </c>
      <c r="C39" s="4" t="s">
        <v>397</v>
      </c>
      <c r="D39" s="70" t="s">
        <v>5</v>
      </c>
      <c r="E39" s="96">
        <v>2877</v>
      </c>
      <c r="F39" s="96">
        <v>2890</v>
      </c>
      <c r="G39" s="87">
        <v>13</v>
      </c>
      <c r="H39" s="110">
        <v>47200</v>
      </c>
      <c r="I39" s="103">
        <v>12100</v>
      </c>
      <c r="J39" s="107">
        <v>59300</v>
      </c>
      <c r="K39" s="107">
        <v>59300</v>
      </c>
      <c r="L39" s="85" t="s">
        <v>358</v>
      </c>
      <c r="M39" s="110">
        <v>0</v>
      </c>
    </row>
    <row r="40" spans="1:14" x14ac:dyDescent="0.25">
      <c r="A40" s="1">
        <f t="shared" si="0"/>
        <v>38</v>
      </c>
      <c r="B40" s="1" t="s">
        <v>50</v>
      </c>
      <c r="C40" s="4" t="s">
        <v>400</v>
      </c>
      <c r="D40" s="70" t="s">
        <v>5</v>
      </c>
      <c r="E40" s="96">
        <v>2375</v>
      </c>
      <c r="F40" s="96">
        <v>2375</v>
      </c>
      <c r="G40" s="87">
        <v>0</v>
      </c>
      <c r="H40" s="110">
        <v>3000</v>
      </c>
      <c r="I40" s="103">
        <v>3000</v>
      </c>
      <c r="J40" s="107">
        <v>6000</v>
      </c>
      <c r="K40" s="91"/>
      <c r="L40" s="85"/>
      <c r="M40" s="110">
        <v>6000</v>
      </c>
    </row>
    <row r="41" spans="1:14" x14ac:dyDescent="0.25">
      <c r="A41" s="1">
        <f t="shared" si="0"/>
        <v>39</v>
      </c>
      <c r="B41" s="1" t="s">
        <v>51</v>
      </c>
      <c r="C41" s="4" t="s">
        <v>401</v>
      </c>
      <c r="D41" s="70" t="s">
        <v>5</v>
      </c>
      <c r="E41" s="96">
        <v>4242</v>
      </c>
      <c r="F41" s="96">
        <v>4254</v>
      </c>
      <c r="G41" s="87">
        <v>12</v>
      </c>
      <c r="H41" s="110">
        <v>0</v>
      </c>
      <c r="I41" s="103">
        <v>11400</v>
      </c>
      <c r="J41" s="107">
        <v>11400</v>
      </c>
      <c r="K41" s="107">
        <v>11400</v>
      </c>
      <c r="L41" s="85" t="s">
        <v>358</v>
      </c>
      <c r="M41" s="110">
        <v>0</v>
      </c>
    </row>
    <row r="42" spans="1:14" x14ac:dyDescent="0.25">
      <c r="A42" s="9">
        <f t="shared" si="0"/>
        <v>40</v>
      </c>
      <c r="B42" s="119" t="s">
        <v>365</v>
      </c>
      <c r="C42" s="161" t="s">
        <v>402</v>
      </c>
      <c r="D42" s="121" t="s">
        <v>5</v>
      </c>
      <c r="E42" s="123">
        <v>4015</v>
      </c>
      <c r="F42" s="123">
        <v>4030</v>
      </c>
      <c r="G42" s="125">
        <v>15</v>
      </c>
      <c r="H42" s="126">
        <v>0</v>
      </c>
      <c r="I42" s="124">
        <v>6750</v>
      </c>
      <c r="J42" s="126">
        <v>6750</v>
      </c>
      <c r="K42" s="126">
        <v>6750</v>
      </c>
      <c r="L42" s="127" t="s">
        <v>399</v>
      </c>
      <c r="M42" s="126">
        <v>0</v>
      </c>
    </row>
    <row r="43" spans="1:14" x14ac:dyDescent="0.25">
      <c r="A43" s="1">
        <f t="shared" si="0"/>
        <v>41</v>
      </c>
      <c r="B43" s="1" t="s">
        <v>349</v>
      </c>
      <c r="C43" s="4" t="s">
        <v>403</v>
      </c>
      <c r="D43" s="70" t="s">
        <v>5</v>
      </c>
      <c r="E43" s="96">
        <v>2230</v>
      </c>
      <c r="F43" s="96">
        <v>2255</v>
      </c>
      <c r="G43" s="87">
        <v>25</v>
      </c>
      <c r="H43" s="110">
        <v>0</v>
      </c>
      <c r="I43" s="103">
        <v>24000</v>
      </c>
      <c r="J43" s="107">
        <v>21850</v>
      </c>
      <c r="K43" s="107">
        <v>21850</v>
      </c>
      <c r="L43" s="85" t="s">
        <v>358</v>
      </c>
      <c r="M43" s="110">
        <v>0</v>
      </c>
    </row>
    <row r="44" spans="1:14" x14ac:dyDescent="0.25">
      <c r="A44" s="1">
        <f t="shared" si="0"/>
        <v>42</v>
      </c>
      <c r="B44" s="160" t="s">
        <v>54</v>
      </c>
      <c r="C44" s="161" t="s">
        <v>404</v>
      </c>
      <c r="D44" s="154" t="s">
        <v>5</v>
      </c>
      <c r="E44" s="155">
        <v>1634</v>
      </c>
      <c r="F44" s="155">
        <v>1647</v>
      </c>
      <c r="G44" s="156">
        <v>13</v>
      </c>
      <c r="H44" s="157">
        <v>0</v>
      </c>
      <c r="I44" s="158">
        <v>6050</v>
      </c>
      <c r="J44" s="157">
        <v>6050</v>
      </c>
      <c r="K44" s="157">
        <v>6050</v>
      </c>
      <c r="L44" s="159" t="s">
        <v>358</v>
      </c>
      <c r="M44" s="157">
        <v>0</v>
      </c>
    </row>
    <row r="45" spans="1:14" x14ac:dyDescent="0.25">
      <c r="A45" s="1">
        <f t="shared" si="0"/>
        <v>43</v>
      </c>
      <c r="B45" s="1" t="s">
        <v>55</v>
      </c>
      <c r="C45" s="4" t="s">
        <v>405</v>
      </c>
      <c r="D45" s="70" t="s">
        <v>5</v>
      </c>
      <c r="E45" s="96">
        <v>1090</v>
      </c>
      <c r="F45" s="96">
        <v>1105</v>
      </c>
      <c r="G45" s="87">
        <v>15</v>
      </c>
      <c r="H45" s="110">
        <v>23800</v>
      </c>
      <c r="I45" s="103">
        <v>13500</v>
      </c>
      <c r="J45" s="107">
        <v>37300</v>
      </c>
      <c r="K45" s="91"/>
      <c r="L45" s="85"/>
      <c r="M45" s="110">
        <v>37300</v>
      </c>
    </row>
    <row r="46" spans="1:14" x14ac:dyDescent="0.25">
      <c r="A46" s="1">
        <f t="shared" si="0"/>
        <v>44</v>
      </c>
      <c r="B46" s="1" t="s">
        <v>56</v>
      </c>
      <c r="C46" s="5" t="s">
        <v>406</v>
      </c>
      <c r="D46" s="70" t="s">
        <v>5</v>
      </c>
      <c r="E46" s="96">
        <v>388</v>
      </c>
      <c r="F46" s="96">
        <v>398</v>
      </c>
      <c r="G46" s="87">
        <v>10</v>
      </c>
      <c r="H46" s="110">
        <v>0</v>
      </c>
      <c r="I46" s="103">
        <v>10000</v>
      </c>
      <c r="J46" s="107">
        <v>15000</v>
      </c>
      <c r="K46" s="107">
        <v>15000</v>
      </c>
      <c r="L46" s="85" t="s">
        <v>358</v>
      </c>
      <c r="M46" s="110">
        <v>9100</v>
      </c>
    </row>
    <row r="47" spans="1:14" x14ac:dyDescent="0.25">
      <c r="A47" s="1">
        <f t="shared" si="0"/>
        <v>45</v>
      </c>
      <c r="B47" s="160" t="s">
        <v>57</v>
      </c>
      <c r="C47" s="161" t="s">
        <v>407</v>
      </c>
      <c r="D47" s="154" t="s">
        <v>5</v>
      </c>
      <c r="E47" s="155">
        <v>3770</v>
      </c>
      <c r="F47" s="155">
        <v>3780</v>
      </c>
      <c r="G47" s="156">
        <v>10</v>
      </c>
      <c r="H47" s="157">
        <v>0</v>
      </c>
      <c r="I47" s="158">
        <v>5000</v>
      </c>
      <c r="J47" s="157">
        <v>5000</v>
      </c>
      <c r="K47" s="157"/>
      <c r="L47" s="159"/>
      <c r="M47" s="157">
        <v>5000</v>
      </c>
    </row>
    <row r="48" spans="1:14" x14ac:dyDescent="0.25">
      <c r="A48" s="1">
        <f t="shared" si="0"/>
        <v>46</v>
      </c>
      <c r="B48" s="1" t="s">
        <v>350</v>
      </c>
      <c r="C48" s="4"/>
      <c r="D48" s="70" t="s">
        <v>5</v>
      </c>
      <c r="E48" s="96">
        <v>1053</v>
      </c>
      <c r="F48" s="96">
        <v>1056</v>
      </c>
      <c r="G48" s="87">
        <v>3</v>
      </c>
      <c r="H48" s="110">
        <v>0</v>
      </c>
      <c r="I48" s="103">
        <v>5100</v>
      </c>
      <c r="J48" s="107">
        <v>5100</v>
      </c>
      <c r="K48" s="107"/>
      <c r="L48" s="85"/>
      <c r="M48" s="110">
        <v>5100</v>
      </c>
      <c r="N48" t="s">
        <v>423</v>
      </c>
    </row>
    <row r="49" spans="1:13" x14ac:dyDescent="0.25">
      <c r="A49" s="1">
        <f t="shared" si="0"/>
        <v>47</v>
      </c>
      <c r="B49" s="1" t="s">
        <v>59</v>
      </c>
      <c r="C49" s="4" t="s">
        <v>408</v>
      </c>
      <c r="D49" s="70" t="s">
        <v>5</v>
      </c>
      <c r="E49" s="96">
        <v>497</v>
      </c>
      <c r="F49" s="96">
        <v>505</v>
      </c>
      <c r="G49" s="87">
        <v>8</v>
      </c>
      <c r="H49" s="110">
        <v>0</v>
      </c>
      <c r="I49" s="103">
        <v>8600</v>
      </c>
      <c r="J49" s="107">
        <v>8600</v>
      </c>
      <c r="K49" s="107">
        <v>8600</v>
      </c>
      <c r="L49" s="85" t="s">
        <v>358</v>
      </c>
      <c r="M49" s="110">
        <v>0</v>
      </c>
    </row>
    <row r="50" spans="1:13" x14ac:dyDescent="0.25">
      <c r="A50" s="1">
        <f t="shared" si="0"/>
        <v>48</v>
      </c>
      <c r="B50" s="1" t="s">
        <v>60</v>
      </c>
      <c r="C50" s="4" t="s">
        <v>409</v>
      </c>
      <c r="D50" s="70" t="s">
        <v>5</v>
      </c>
      <c r="E50" s="96">
        <v>3302</v>
      </c>
      <c r="F50" s="96">
        <v>3327</v>
      </c>
      <c r="G50" s="87">
        <v>25</v>
      </c>
      <c r="H50" s="110">
        <v>0</v>
      </c>
      <c r="I50" s="103">
        <v>24000</v>
      </c>
      <c r="J50" s="107">
        <v>24000</v>
      </c>
      <c r="K50" s="107">
        <v>24000</v>
      </c>
      <c r="L50" s="85" t="s">
        <v>358</v>
      </c>
      <c r="M50" s="110">
        <v>0</v>
      </c>
    </row>
    <row r="51" spans="1:13" x14ac:dyDescent="0.25">
      <c r="A51" s="1">
        <f>A50+1</f>
        <v>49</v>
      </c>
      <c r="B51" s="1" t="s">
        <v>351</v>
      </c>
      <c r="C51" s="4" t="s">
        <v>410</v>
      </c>
      <c r="D51" s="70" t="s">
        <v>5</v>
      </c>
      <c r="E51" s="96">
        <v>2374</v>
      </c>
      <c r="F51" s="96">
        <v>2374</v>
      </c>
      <c r="G51" s="87">
        <v>0</v>
      </c>
      <c r="H51" s="110">
        <v>0</v>
      </c>
      <c r="I51" s="103">
        <v>3000</v>
      </c>
      <c r="J51" s="107">
        <v>3000</v>
      </c>
      <c r="K51" s="91"/>
      <c r="L51" s="85"/>
      <c r="M51" s="110">
        <v>3000</v>
      </c>
    </row>
    <row r="52" spans="1:13" x14ac:dyDescent="0.25">
      <c r="A52" s="1">
        <f t="shared" ref="A52:A70" si="1">A51+1</f>
        <v>50</v>
      </c>
      <c r="B52" s="1" t="s">
        <v>61</v>
      </c>
      <c r="C52" s="4" t="s">
        <v>411</v>
      </c>
      <c r="D52" s="70" t="s">
        <v>5</v>
      </c>
      <c r="E52" s="96">
        <v>698</v>
      </c>
      <c r="F52" s="96">
        <v>702</v>
      </c>
      <c r="G52" s="87">
        <v>4</v>
      </c>
      <c r="H52" s="110">
        <v>0</v>
      </c>
      <c r="I52" s="103">
        <v>5800</v>
      </c>
      <c r="J52" s="107">
        <v>5800</v>
      </c>
      <c r="K52" s="107">
        <v>5800</v>
      </c>
      <c r="L52" s="85" t="s">
        <v>358</v>
      </c>
      <c r="M52" s="110">
        <v>0</v>
      </c>
    </row>
    <row r="53" spans="1:13" x14ac:dyDescent="0.25">
      <c r="A53" s="1">
        <f t="shared" si="1"/>
        <v>51</v>
      </c>
      <c r="B53" s="1" t="s">
        <v>62</v>
      </c>
      <c r="C53" s="4" t="s">
        <v>412</v>
      </c>
      <c r="D53" s="70" t="s">
        <v>5</v>
      </c>
      <c r="E53" s="96">
        <v>1751</v>
      </c>
      <c r="F53" s="96">
        <v>1761</v>
      </c>
      <c r="G53" s="87">
        <v>10</v>
      </c>
      <c r="H53" s="110">
        <v>33700</v>
      </c>
      <c r="I53" s="103">
        <v>10000</v>
      </c>
      <c r="J53" s="107">
        <v>43700</v>
      </c>
      <c r="K53" s="107">
        <v>73700</v>
      </c>
      <c r="L53" s="85" t="s">
        <v>358</v>
      </c>
      <c r="M53" s="110">
        <v>0</v>
      </c>
    </row>
    <row r="54" spans="1:13" x14ac:dyDescent="0.25">
      <c r="A54" s="1">
        <f t="shared" si="1"/>
        <v>52</v>
      </c>
      <c r="B54" s="1" t="s">
        <v>63</v>
      </c>
      <c r="C54" s="162" t="s">
        <v>413</v>
      </c>
      <c r="D54" s="70" t="s">
        <v>5</v>
      </c>
      <c r="E54" s="96">
        <v>1458</v>
      </c>
      <c r="F54" s="96">
        <v>1469</v>
      </c>
      <c r="G54" s="87">
        <v>11</v>
      </c>
      <c r="H54" s="110">
        <v>0</v>
      </c>
      <c r="I54" s="103">
        <v>10700</v>
      </c>
      <c r="J54" s="107">
        <v>20800</v>
      </c>
      <c r="K54" s="107"/>
      <c r="L54" s="84"/>
      <c r="M54" s="110">
        <v>20800</v>
      </c>
    </row>
    <row r="55" spans="1:13" x14ac:dyDescent="0.25">
      <c r="A55" s="1">
        <f t="shared" si="1"/>
        <v>53</v>
      </c>
      <c r="B55" s="1" t="s">
        <v>64</v>
      </c>
      <c r="C55" s="4" t="s">
        <v>414</v>
      </c>
      <c r="D55" s="70" t="s">
        <v>5</v>
      </c>
      <c r="E55" s="96">
        <v>713</v>
      </c>
      <c r="F55" s="96">
        <v>718</v>
      </c>
      <c r="G55" s="87">
        <v>5</v>
      </c>
      <c r="H55" s="110">
        <v>0</v>
      </c>
      <c r="I55" s="103">
        <v>6500</v>
      </c>
      <c r="J55" s="107">
        <v>6500</v>
      </c>
      <c r="K55" s="107">
        <v>6500</v>
      </c>
      <c r="L55" s="85" t="s">
        <v>399</v>
      </c>
      <c r="M55" s="110">
        <v>0</v>
      </c>
    </row>
    <row r="56" spans="1:13" x14ac:dyDescent="0.25">
      <c r="A56" s="1">
        <f t="shared" si="1"/>
        <v>54</v>
      </c>
      <c r="B56" s="1" t="s">
        <v>65</v>
      </c>
      <c r="C56" s="4" t="s">
        <v>415</v>
      </c>
      <c r="D56" s="70" t="s">
        <v>5</v>
      </c>
      <c r="E56" s="96">
        <v>1331</v>
      </c>
      <c r="F56" s="96">
        <v>1345</v>
      </c>
      <c r="G56" s="87">
        <v>14</v>
      </c>
      <c r="H56" s="110">
        <v>0</v>
      </c>
      <c r="I56" s="103">
        <v>12800</v>
      </c>
      <c r="J56" s="107">
        <v>12800</v>
      </c>
      <c r="K56" s="107">
        <v>92790</v>
      </c>
      <c r="L56" s="84" t="s">
        <v>358</v>
      </c>
      <c r="M56" s="110">
        <v>79990</v>
      </c>
    </row>
    <row r="57" spans="1:13" x14ac:dyDescent="0.25">
      <c r="A57" s="1">
        <f t="shared" si="1"/>
        <v>55</v>
      </c>
      <c r="B57" s="1" t="s">
        <v>66</v>
      </c>
      <c r="C57" s="4" t="s">
        <v>416</v>
      </c>
      <c r="D57" s="70" t="s">
        <v>5</v>
      </c>
      <c r="E57" s="96">
        <v>6284</v>
      </c>
      <c r="F57" s="96">
        <v>6288</v>
      </c>
      <c r="G57" s="87">
        <v>4</v>
      </c>
      <c r="H57" s="110">
        <v>0</v>
      </c>
      <c r="I57" s="103">
        <v>5800</v>
      </c>
      <c r="J57" s="108">
        <v>5800</v>
      </c>
      <c r="K57" s="107" t="s">
        <v>421</v>
      </c>
      <c r="L57" s="85" t="s">
        <v>358</v>
      </c>
      <c r="M57" s="110">
        <v>0</v>
      </c>
    </row>
    <row r="58" spans="1:13" x14ac:dyDescent="0.25">
      <c r="A58" s="1">
        <f t="shared" si="1"/>
        <v>56</v>
      </c>
      <c r="B58" s="1" t="s">
        <v>67</v>
      </c>
      <c r="C58" s="4" t="s">
        <v>417</v>
      </c>
      <c r="D58" s="70" t="s">
        <v>5</v>
      </c>
      <c r="E58" s="96">
        <v>905</v>
      </c>
      <c r="F58" s="96">
        <v>914</v>
      </c>
      <c r="G58" s="87">
        <v>9</v>
      </c>
      <c r="H58" s="110">
        <v>0</v>
      </c>
      <c r="I58" s="103">
        <v>9300</v>
      </c>
      <c r="J58" s="107">
        <v>9300</v>
      </c>
      <c r="K58" s="107">
        <v>9300</v>
      </c>
      <c r="L58" s="85" t="s">
        <v>358</v>
      </c>
      <c r="M58" s="110">
        <v>0</v>
      </c>
    </row>
    <row r="59" spans="1:13" x14ac:dyDescent="0.25">
      <c r="A59" s="1">
        <f t="shared" si="1"/>
        <v>57</v>
      </c>
      <c r="B59" s="1" t="s">
        <v>368</v>
      </c>
      <c r="C59" s="4" t="s">
        <v>418</v>
      </c>
      <c r="D59" s="70" t="s">
        <v>5</v>
      </c>
      <c r="E59" s="96">
        <v>742</v>
      </c>
      <c r="F59" s="96">
        <v>750</v>
      </c>
      <c r="G59" s="87">
        <v>8</v>
      </c>
      <c r="H59" s="110">
        <v>0</v>
      </c>
      <c r="I59" s="103">
        <v>8600</v>
      </c>
      <c r="J59" s="107">
        <v>8600</v>
      </c>
      <c r="K59" s="107">
        <v>8600</v>
      </c>
      <c r="L59" s="85" t="s">
        <v>358</v>
      </c>
      <c r="M59" s="110">
        <v>0</v>
      </c>
    </row>
    <row r="60" spans="1:13" x14ac:dyDescent="0.25">
      <c r="A60" s="1">
        <f t="shared" si="1"/>
        <v>58</v>
      </c>
      <c r="B60" s="1" t="s">
        <v>69</v>
      </c>
      <c r="C60" s="4" t="s">
        <v>90</v>
      </c>
      <c r="D60" s="70" t="s">
        <v>5</v>
      </c>
      <c r="E60" s="96">
        <v>1379</v>
      </c>
      <c r="F60" s="96">
        <v>1392</v>
      </c>
      <c r="G60" s="87">
        <v>13</v>
      </c>
      <c r="H60" s="110">
        <v>0</v>
      </c>
      <c r="I60" s="103">
        <v>12100</v>
      </c>
      <c r="J60" s="107">
        <v>39100</v>
      </c>
      <c r="K60" s="107">
        <v>39100</v>
      </c>
      <c r="L60" s="84" t="s">
        <v>358</v>
      </c>
      <c r="M60" s="110">
        <v>0</v>
      </c>
    </row>
    <row r="61" spans="1:13" x14ac:dyDescent="0.25">
      <c r="A61" s="1">
        <f t="shared" si="1"/>
        <v>59</v>
      </c>
      <c r="B61" s="1" t="s">
        <v>70</v>
      </c>
      <c r="C61" s="5" t="s">
        <v>419</v>
      </c>
      <c r="D61" s="70" t="s">
        <v>5</v>
      </c>
      <c r="E61" s="96">
        <v>71</v>
      </c>
      <c r="F61" s="96">
        <v>80</v>
      </c>
      <c r="G61" s="87">
        <v>9</v>
      </c>
      <c r="H61" s="110">
        <v>0</v>
      </c>
      <c r="I61" s="103">
        <v>9300</v>
      </c>
      <c r="J61" s="107">
        <v>9300</v>
      </c>
      <c r="K61" s="107">
        <v>9300</v>
      </c>
      <c r="L61" s="85" t="s">
        <v>358</v>
      </c>
      <c r="M61" s="110">
        <v>0</v>
      </c>
    </row>
    <row r="62" spans="1:13" x14ac:dyDescent="0.25">
      <c r="A62" s="1">
        <f t="shared" si="1"/>
        <v>60</v>
      </c>
      <c r="B62" s="1" t="s">
        <v>71</v>
      </c>
      <c r="C62" s="4" t="s">
        <v>89</v>
      </c>
      <c r="D62" s="70" t="s">
        <v>5</v>
      </c>
      <c r="E62" s="96">
        <v>2234</v>
      </c>
      <c r="F62" s="96">
        <v>2274</v>
      </c>
      <c r="G62" s="87">
        <v>40</v>
      </c>
      <c r="H62" s="110">
        <v>0</v>
      </c>
      <c r="I62" s="103">
        <v>43250</v>
      </c>
      <c r="J62" s="107">
        <v>43250</v>
      </c>
      <c r="K62" s="107">
        <v>43250</v>
      </c>
      <c r="L62" s="85" t="s">
        <v>358</v>
      </c>
      <c r="M62" s="110">
        <v>0</v>
      </c>
    </row>
    <row r="63" spans="1:13" x14ac:dyDescent="0.25">
      <c r="A63" s="1">
        <f t="shared" si="1"/>
        <v>61</v>
      </c>
      <c r="B63" s="1" t="s">
        <v>72</v>
      </c>
      <c r="C63" s="4" t="s">
        <v>88</v>
      </c>
      <c r="D63" s="70" t="s">
        <v>5</v>
      </c>
      <c r="E63" s="96">
        <v>7724</v>
      </c>
      <c r="F63" s="96">
        <v>8007</v>
      </c>
      <c r="G63" s="87">
        <v>283</v>
      </c>
      <c r="H63" s="110">
        <v>0</v>
      </c>
      <c r="I63" s="103">
        <v>297100</v>
      </c>
      <c r="J63" s="107">
        <v>297100</v>
      </c>
      <c r="K63" s="107">
        <v>297100</v>
      </c>
      <c r="L63" s="85" t="s">
        <v>358</v>
      </c>
      <c r="M63" s="110">
        <v>0</v>
      </c>
    </row>
    <row r="64" spans="1:13" x14ac:dyDescent="0.25">
      <c r="A64" s="1">
        <f t="shared" si="1"/>
        <v>62</v>
      </c>
      <c r="B64" s="1" t="s">
        <v>73</v>
      </c>
      <c r="C64" s="4" t="s">
        <v>87</v>
      </c>
      <c r="D64" s="70" t="s">
        <v>5</v>
      </c>
      <c r="E64" s="96">
        <v>122</v>
      </c>
      <c r="F64" s="96">
        <v>122</v>
      </c>
      <c r="G64" s="87">
        <v>0</v>
      </c>
      <c r="H64" s="110">
        <v>12000</v>
      </c>
      <c r="I64" s="103">
        <v>3000</v>
      </c>
      <c r="J64" s="107">
        <v>15000</v>
      </c>
      <c r="K64" s="91"/>
      <c r="L64" s="85"/>
      <c r="M64" s="110">
        <v>15000</v>
      </c>
    </row>
    <row r="65" spans="1:13" x14ac:dyDescent="0.25">
      <c r="A65" s="1">
        <f t="shared" si="1"/>
        <v>63</v>
      </c>
      <c r="B65" s="1" t="s">
        <v>74</v>
      </c>
      <c r="C65" s="4" t="s">
        <v>86</v>
      </c>
      <c r="D65" s="70" t="s">
        <v>5</v>
      </c>
      <c r="E65" s="96">
        <v>15</v>
      </c>
      <c r="F65" s="96">
        <v>15</v>
      </c>
      <c r="G65" s="87">
        <v>0</v>
      </c>
      <c r="H65" s="110">
        <v>0</v>
      </c>
      <c r="I65" s="103">
        <v>3000</v>
      </c>
      <c r="J65" s="107">
        <v>3000</v>
      </c>
      <c r="K65" s="107"/>
      <c r="L65" s="85"/>
      <c r="M65" s="110">
        <v>3000</v>
      </c>
    </row>
    <row r="66" spans="1:13" x14ac:dyDescent="0.25">
      <c r="A66" s="1">
        <f t="shared" si="1"/>
        <v>64</v>
      </c>
      <c r="B66" s="1" t="s">
        <v>369</v>
      </c>
      <c r="C66" s="4" t="s">
        <v>85</v>
      </c>
      <c r="D66" s="70" t="s">
        <v>5</v>
      </c>
      <c r="E66" s="96">
        <v>78</v>
      </c>
      <c r="F66" s="96">
        <v>78</v>
      </c>
      <c r="G66" s="87">
        <v>0</v>
      </c>
      <c r="H66" s="110">
        <v>44100</v>
      </c>
      <c r="I66" s="103">
        <v>3000</v>
      </c>
      <c r="J66" s="107">
        <v>47100</v>
      </c>
      <c r="K66" s="107">
        <v>47100</v>
      </c>
      <c r="L66" s="85" t="s">
        <v>358</v>
      </c>
      <c r="M66" s="110">
        <v>0</v>
      </c>
    </row>
    <row r="67" spans="1:13" x14ac:dyDescent="0.25">
      <c r="A67" s="1">
        <f t="shared" si="1"/>
        <v>65</v>
      </c>
      <c r="B67" s="1" t="s">
        <v>75</v>
      </c>
      <c r="C67" s="4" t="s">
        <v>83</v>
      </c>
      <c r="D67" s="70" t="s">
        <v>5</v>
      </c>
      <c r="E67" s="96">
        <v>2809</v>
      </c>
      <c r="F67" s="96">
        <v>2831</v>
      </c>
      <c r="G67" s="87">
        <v>22</v>
      </c>
      <c r="H67" s="110">
        <v>0</v>
      </c>
      <c r="I67" s="103">
        <v>20850</v>
      </c>
      <c r="J67" s="107">
        <v>20850</v>
      </c>
      <c r="K67" s="107">
        <v>20850</v>
      </c>
      <c r="L67" s="85" t="s">
        <v>358</v>
      </c>
      <c r="M67" s="110">
        <v>0</v>
      </c>
    </row>
    <row r="68" spans="1:13" x14ac:dyDescent="0.25">
      <c r="A68" s="1">
        <f t="shared" si="1"/>
        <v>66</v>
      </c>
      <c r="B68" s="1" t="s">
        <v>76</v>
      </c>
      <c r="C68" s="4" t="s">
        <v>82</v>
      </c>
      <c r="D68" s="70" t="s">
        <v>5</v>
      </c>
      <c r="E68" s="96">
        <v>1225</v>
      </c>
      <c r="F68" s="96">
        <v>1238</v>
      </c>
      <c r="G68" s="87">
        <v>13</v>
      </c>
      <c r="H68" s="110">
        <v>0</v>
      </c>
      <c r="I68" s="103">
        <v>12100</v>
      </c>
      <c r="J68" s="107">
        <v>12100</v>
      </c>
      <c r="K68" s="107">
        <v>12100</v>
      </c>
      <c r="L68" s="85" t="s">
        <v>358</v>
      </c>
      <c r="M68" s="110">
        <v>0</v>
      </c>
    </row>
    <row r="69" spans="1:13" x14ac:dyDescent="0.25">
      <c r="A69" s="1">
        <f t="shared" si="1"/>
        <v>67</v>
      </c>
      <c r="B69" s="1" t="s">
        <v>77</v>
      </c>
      <c r="C69" s="4" t="s">
        <v>6</v>
      </c>
      <c r="D69" s="70" t="s">
        <v>5</v>
      </c>
      <c r="E69" s="96">
        <v>1740</v>
      </c>
      <c r="F69" s="96">
        <v>1740</v>
      </c>
      <c r="G69" s="87">
        <v>0</v>
      </c>
      <c r="H69" s="110">
        <v>6000</v>
      </c>
      <c r="I69" s="103">
        <v>3000</v>
      </c>
      <c r="J69" s="107">
        <v>9000</v>
      </c>
      <c r="K69" s="107">
        <v>9000</v>
      </c>
      <c r="L69" s="85" t="s">
        <v>358</v>
      </c>
      <c r="M69" s="110">
        <v>0</v>
      </c>
    </row>
    <row r="70" spans="1:13" x14ac:dyDescent="0.25">
      <c r="A70" s="1">
        <f t="shared" si="1"/>
        <v>68</v>
      </c>
      <c r="B70" s="1" t="s">
        <v>78</v>
      </c>
      <c r="C70" s="4" t="s">
        <v>79</v>
      </c>
      <c r="D70" s="70" t="s">
        <v>5</v>
      </c>
      <c r="E70" s="96">
        <v>1310</v>
      </c>
      <c r="F70" s="96">
        <v>1325</v>
      </c>
      <c r="G70" s="87">
        <v>15</v>
      </c>
      <c r="H70" s="110">
        <v>0</v>
      </c>
      <c r="I70" s="103">
        <v>13500</v>
      </c>
      <c r="J70" s="107">
        <v>13500</v>
      </c>
      <c r="K70" s="107">
        <v>13500</v>
      </c>
      <c r="L70" s="85" t="s">
        <v>358</v>
      </c>
      <c r="M70" s="110">
        <v>0</v>
      </c>
    </row>
    <row r="71" spans="1:13" x14ac:dyDescent="0.25">
      <c r="A71" s="1">
        <v>69</v>
      </c>
      <c r="B71" s="1" t="s">
        <v>80</v>
      </c>
      <c r="C71" s="4" t="s">
        <v>81</v>
      </c>
      <c r="D71" s="70" t="s">
        <v>5</v>
      </c>
      <c r="E71" s="96">
        <v>60</v>
      </c>
      <c r="F71" s="96">
        <v>62</v>
      </c>
      <c r="G71" s="87">
        <v>2</v>
      </c>
      <c r="H71" s="110">
        <v>0</v>
      </c>
      <c r="I71" s="103">
        <v>4400</v>
      </c>
      <c r="J71" s="107">
        <v>4400</v>
      </c>
      <c r="K71" s="91"/>
      <c r="L71" s="85"/>
      <c r="M71" s="110">
        <v>4400</v>
      </c>
    </row>
    <row r="72" spans="1:13" x14ac:dyDescent="0.25">
      <c r="A72" s="1"/>
      <c r="B72" s="1"/>
      <c r="C72" s="1"/>
      <c r="D72" s="70"/>
      <c r="E72" s="96"/>
      <c r="F72" s="96"/>
      <c r="G72" s="87"/>
      <c r="H72" s="111"/>
      <c r="I72" s="92"/>
      <c r="J72" s="91"/>
      <c r="K72" s="91"/>
      <c r="L72" s="85"/>
      <c r="M72" s="111"/>
    </row>
    <row r="73" spans="1:13" x14ac:dyDescent="0.25">
      <c r="B73" s="1"/>
      <c r="C73" s="4"/>
      <c r="D73" s="70"/>
      <c r="E73" s="96"/>
      <c r="F73" s="96"/>
      <c r="G73" s="87"/>
      <c r="H73" s="111"/>
      <c r="I73" s="92"/>
      <c r="J73" s="91"/>
      <c r="K73" s="91"/>
      <c r="L73" s="85"/>
      <c r="M73" s="111"/>
    </row>
    <row r="74" spans="1:13" x14ac:dyDescent="0.25">
      <c r="A74" s="1"/>
      <c r="B74" s="1"/>
      <c r="C74" s="4"/>
      <c r="D74" s="70"/>
      <c r="E74" s="96"/>
      <c r="F74" s="96"/>
      <c r="G74" s="87"/>
      <c r="H74" s="111"/>
      <c r="I74" s="92"/>
      <c r="J74" s="91"/>
      <c r="K74" s="91"/>
      <c r="L74" s="85"/>
      <c r="M74" s="111"/>
    </row>
    <row r="75" spans="1:13" x14ac:dyDescent="0.25">
      <c r="A75" s="129" t="s">
        <v>3</v>
      </c>
      <c r="B75" s="128" t="s">
        <v>0</v>
      </c>
      <c r="C75" s="128" t="s">
        <v>1</v>
      </c>
      <c r="D75" s="129" t="s">
        <v>2</v>
      </c>
      <c r="E75" s="129" t="s">
        <v>336</v>
      </c>
      <c r="F75" s="129" t="s">
        <v>337</v>
      </c>
      <c r="G75" s="128" t="s">
        <v>10</v>
      </c>
      <c r="H75" s="129" t="s">
        <v>356</v>
      </c>
      <c r="I75" s="129" t="s">
        <v>357</v>
      </c>
      <c r="J75" s="128" t="s">
        <v>11</v>
      </c>
      <c r="K75" s="129" t="s">
        <v>12</v>
      </c>
      <c r="L75" s="129" t="s">
        <v>355</v>
      </c>
      <c r="M75" s="130" t="s">
        <v>13</v>
      </c>
    </row>
    <row r="76" spans="1:13" x14ac:dyDescent="0.25">
      <c r="A76" s="1">
        <v>1</v>
      </c>
      <c r="B76" s="134" t="s">
        <v>102</v>
      </c>
      <c r="C76" s="135" t="s">
        <v>103</v>
      </c>
      <c r="D76" s="121" t="s">
        <v>334</v>
      </c>
      <c r="E76" s="123">
        <v>2610</v>
      </c>
      <c r="F76" s="123">
        <v>2610</v>
      </c>
      <c r="G76" s="125">
        <v>0</v>
      </c>
      <c r="H76" s="126">
        <v>1500</v>
      </c>
      <c r="I76" s="124">
        <v>1500</v>
      </c>
      <c r="J76" s="126">
        <v>3000</v>
      </c>
      <c r="K76" s="126">
        <v>3000</v>
      </c>
      <c r="L76" s="127" t="s">
        <v>358</v>
      </c>
      <c r="M76" s="126">
        <v>0</v>
      </c>
    </row>
    <row r="77" spans="1:13" x14ac:dyDescent="0.25">
      <c r="A77" s="1">
        <f t="shared" ref="A77:A140" si="2">A76+1</f>
        <v>2</v>
      </c>
      <c r="B77" s="31" t="s">
        <v>370</v>
      </c>
      <c r="C77" s="58"/>
      <c r="D77" s="70" t="s">
        <v>334</v>
      </c>
      <c r="E77" s="96">
        <v>2738</v>
      </c>
      <c r="F77" s="96">
        <v>2743</v>
      </c>
      <c r="G77" s="87">
        <v>5</v>
      </c>
      <c r="H77" s="110">
        <v>20200</v>
      </c>
      <c r="I77" s="103">
        <v>6500</v>
      </c>
      <c r="J77" s="107">
        <v>31700</v>
      </c>
      <c r="K77" s="91"/>
      <c r="L77" s="85"/>
      <c r="M77" s="110">
        <v>31700</v>
      </c>
    </row>
    <row r="78" spans="1:13" x14ac:dyDescent="0.25">
      <c r="A78" s="1">
        <f t="shared" si="2"/>
        <v>3</v>
      </c>
      <c r="B78" s="31" t="s">
        <v>105</v>
      </c>
      <c r="C78" s="58" t="s">
        <v>106</v>
      </c>
      <c r="D78" s="70" t="s">
        <v>335</v>
      </c>
      <c r="E78" s="96">
        <v>482</v>
      </c>
      <c r="F78" s="96">
        <v>495</v>
      </c>
      <c r="G78" s="87">
        <v>13</v>
      </c>
      <c r="H78" s="110">
        <v>0</v>
      </c>
      <c r="I78" s="103">
        <v>12100</v>
      </c>
      <c r="J78" s="107">
        <v>12100</v>
      </c>
      <c r="K78" s="107">
        <v>12100</v>
      </c>
      <c r="L78" s="84" t="s">
        <v>358</v>
      </c>
      <c r="M78" s="110">
        <v>0</v>
      </c>
    </row>
    <row r="79" spans="1:13" x14ac:dyDescent="0.25">
      <c r="A79" s="1">
        <f t="shared" si="2"/>
        <v>4</v>
      </c>
      <c r="B79" s="31" t="s">
        <v>107</v>
      </c>
      <c r="C79" s="58"/>
      <c r="D79" s="70" t="s">
        <v>335</v>
      </c>
      <c r="E79" s="96">
        <v>2442</v>
      </c>
      <c r="F79" s="96">
        <v>2448</v>
      </c>
      <c r="G79" s="87">
        <v>6</v>
      </c>
      <c r="H79" s="110">
        <v>142200</v>
      </c>
      <c r="I79" s="103">
        <v>7200</v>
      </c>
      <c r="J79" s="107">
        <v>149400</v>
      </c>
      <c r="K79" s="107">
        <v>50000</v>
      </c>
      <c r="L79" s="85" t="s">
        <v>399</v>
      </c>
      <c r="M79" s="110">
        <v>99400</v>
      </c>
    </row>
    <row r="80" spans="1:13" x14ac:dyDescent="0.25">
      <c r="A80" s="1">
        <f t="shared" si="2"/>
        <v>5</v>
      </c>
      <c r="B80" s="31" t="s">
        <v>108</v>
      </c>
      <c r="C80" s="58" t="s">
        <v>111</v>
      </c>
      <c r="D80" s="70" t="s">
        <v>334</v>
      </c>
      <c r="E80" s="96">
        <v>2388</v>
      </c>
      <c r="F80" s="96">
        <v>2399</v>
      </c>
      <c r="G80" s="87">
        <v>11</v>
      </c>
      <c r="H80" s="110">
        <v>0</v>
      </c>
      <c r="I80" s="103">
        <v>10700</v>
      </c>
      <c r="J80" s="107">
        <v>10700</v>
      </c>
      <c r="K80" s="107">
        <v>10700</v>
      </c>
      <c r="L80" s="85" t="s">
        <v>358</v>
      </c>
      <c r="M80" s="110">
        <v>29110</v>
      </c>
    </row>
    <row r="81" spans="1:13" x14ac:dyDescent="0.25">
      <c r="A81" s="1">
        <f t="shared" si="2"/>
        <v>6</v>
      </c>
      <c r="B81" s="31" t="s">
        <v>109</v>
      </c>
      <c r="C81" s="58" t="s">
        <v>110</v>
      </c>
      <c r="D81" s="70" t="s">
        <v>334</v>
      </c>
      <c r="E81" s="96">
        <v>644</v>
      </c>
      <c r="F81" s="96">
        <v>657</v>
      </c>
      <c r="G81" s="87">
        <v>13</v>
      </c>
      <c r="H81" s="110">
        <v>17800</v>
      </c>
      <c r="I81" s="103">
        <v>12100</v>
      </c>
      <c r="J81" s="107">
        <v>34900</v>
      </c>
      <c r="K81" s="107">
        <v>34900</v>
      </c>
      <c r="L81" s="85" t="s">
        <v>358</v>
      </c>
      <c r="M81" s="110">
        <v>0</v>
      </c>
    </row>
    <row r="82" spans="1:13" x14ac:dyDescent="0.25">
      <c r="A82" s="1">
        <f t="shared" si="2"/>
        <v>7</v>
      </c>
      <c r="B82" s="31" t="s">
        <v>112</v>
      </c>
      <c r="C82" s="58" t="s">
        <v>113</v>
      </c>
      <c r="D82" s="70" t="s">
        <v>335</v>
      </c>
      <c r="E82" s="96">
        <v>4</v>
      </c>
      <c r="F82" s="96">
        <v>11</v>
      </c>
      <c r="G82" s="87">
        <v>7</v>
      </c>
      <c r="H82" s="110">
        <v>0</v>
      </c>
      <c r="I82" s="103">
        <v>10700</v>
      </c>
      <c r="J82" s="107">
        <v>10700</v>
      </c>
      <c r="K82" s="107"/>
      <c r="L82" s="84"/>
      <c r="M82" s="110">
        <v>10700</v>
      </c>
    </row>
    <row r="83" spans="1:13" x14ac:dyDescent="0.25">
      <c r="A83" s="1">
        <f t="shared" si="2"/>
        <v>8</v>
      </c>
      <c r="B83" s="31" t="s">
        <v>114</v>
      </c>
      <c r="C83" s="58" t="s">
        <v>115</v>
      </c>
      <c r="D83" s="70" t="s">
        <v>335</v>
      </c>
      <c r="E83" s="96">
        <v>375</v>
      </c>
      <c r="F83" s="96">
        <v>386</v>
      </c>
      <c r="G83" s="87">
        <v>11</v>
      </c>
      <c r="H83" s="110">
        <v>13000</v>
      </c>
      <c r="I83" s="103">
        <v>10700</v>
      </c>
      <c r="J83" s="107">
        <v>23700</v>
      </c>
      <c r="K83" s="107">
        <v>23700</v>
      </c>
      <c r="L83" s="85" t="s">
        <v>358</v>
      </c>
      <c r="M83" s="110">
        <v>0</v>
      </c>
    </row>
    <row r="84" spans="1:13" x14ac:dyDescent="0.25">
      <c r="A84" s="1">
        <f t="shared" si="2"/>
        <v>9</v>
      </c>
      <c r="B84" s="31" t="s">
        <v>116</v>
      </c>
      <c r="C84" s="58" t="s">
        <v>106</v>
      </c>
      <c r="D84" s="70" t="s">
        <v>334</v>
      </c>
      <c r="E84" s="96">
        <v>166</v>
      </c>
      <c r="F84" s="96">
        <v>176</v>
      </c>
      <c r="G84" s="87">
        <v>10</v>
      </c>
      <c r="H84" s="253">
        <v>8225</v>
      </c>
      <c r="I84" s="103">
        <v>5625</v>
      </c>
      <c r="J84" s="107">
        <v>0</v>
      </c>
      <c r="K84" s="107"/>
      <c r="L84" s="85"/>
      <c r="M84" s="253">
        <v>2600</v>
      </c>
    </row>
    <row r="85" spans="1:13" x14ac:dyDescent="0.25">
      <c r="A85" s="1">
        <f t="shared" si="2"/>
        <v>10</v>
      </c>
      <c r="B85" s="31" t="s">
        <v>117</v>
      </c>
      <c r="C85" s="58" t="s">
        <v>118</v>
      </c>
      <c r="D85" s="70" t="s">
        <v>335</v>
      </c>
      <c r="E85" s="96">
        <v>1345</v>
      </c>
      <c r="F85" s="96">
        <v>1356</v>
      </c>
      <c r="G85" s="87">
        <v>11</v>
      </c>
      <c r="H85" s="110">
        <v>0</v>
      </c>
      <c r="I85" s="103">
        <v>10700</v>
      </c>
      <c r="J85" s="107">
        <v>25870</v>
      </c>
      <c r="K85" s="107">
        <v>25870</v>
      </c>
      <c r="L85" s="85" t="s">
        <v>358</v>
      </c>
      <c r="M85" s="110">
        <v>15170</v>
      </c>
    </row>
    <row r="86" spans="1:13" x14ac:dyDescent="0.25">
      <c r="A86" s="1">
        <f t="shared" si="2"/>
        <v>11</v>
      </c>
      <c r="B86" s="31" t="s">
        <v>119</v>
      </c>
      <c r="C86" s="58" t="s">
        <v>120</v>
      </c>
      <c r="D86" s="70" t="s">
        <v>335</v>
      </c>
      <c r="E86" s="96">
        <v>2866</v>
      </c>
      <c r="F86" s="96">
        <v>2889</v>
      </c>
      <c r="G86" s="87">
        <v>23</v>
      </c>
      <c r="H86" s="110">
        <v>16000</v>
      </c>
      <c r="I86" s="103">
        <v>21900</v>
      </c>
      <c r="J86" s="107">
        <v>37900</v>
      </c>
      <c r="K86" s="107">
        <v>37900</v>
      </c>
      <c r="L86" s="84" t="s">
        <v>399</v>
      </c>
      <c r="M86" s="110">
        <v>0</v>
      </c>
    </row>
    <row r="87" spans="1:13" x14ac:dyDescent="0.25">
      <c r="A87" s="1">
        <f t="shared" si="2"/>
        <v>12</v>
      </c>
      <c r="B87" s="31" t="s">
        <v>121</v>
      </c>
      <c r="C87" s="58" t="s">
        <v>122</v>
      </c>
      <c r="D87" s="70" t="s">
        <v>335</v>
      </c>
      <c r="E87" s="96">
        <v>1935</v>
      </c>
      <c r="F87" s="96">
        <v>1935</v>
      </c>
      <c r="G87" s="87">
        <v>0</v>
      </c>
      <c r="H87" s="110">
        <v>89100</v>
      </c>
      <c r="I87" s="103">
        <v>3000</v>
      </c>
      <c r="J87" s="107">
        <v>92100</v>
      </c>
      <c r="K87" s="107">
        <v>92100</v>
      </c>
      <c r="L87" s="85" t="s">
        <v>399</v>
      </c>
      <c r="M87" s="110">
        <v>0</v>
      </c>
    </row>
    <row r="88" spans="1:13" x14ac:dyDescent="0.25">
      <c r="A88" s="1">
        <f t="shared" si="2"/>
        <v>13</v>
      </c>
      <c r="B88" s="31" t="s">
        <v>123</v>
      </c>
      <c r="C88" s="58" t="s">
        <v>124</v>
      </c>
      <c r="D88" s="70" t="s">
        <v>335</v>
      </c>
      <c r="E88" s="96"/>
      <c r="F88" s="96"/>
      <c r="G88" s="87"/>
      <c r="H88" s="110"/>
      <c r="I88" s="92"/>
      <c r="J88" s="91"/>
      <c r="K88" s="91"/>
      <c r="L88" s="85"/>
      <c r="M88" s="110">
        <v>22750</v>
      </c>
    </row>
    <row r="89" spans="1:13" x14ac:dyDescent="0.25">
      <c r="A89" s="1">
        <f t="shared" si="2"/>
        <v>14</v>
      </c>
      <c r="B89" s="31" t="s">
        <v>125</v>
      </c>
      <c r="C89" s="58" t="s">
        <v>126</v>
      </c>
      <c r="D89" s="70" t="s">
        <v>335</v>
      </c>
      <c r="E89" s="96">
        <v>3084</v>
      </c>
      <c r="F89" s="96">
        <v>3099</v>
      </c>
      <c r="G89" s="87">
        <v>15</v>
      </c>
      <c r="H89" s="110">
        <v>36800</v>
      </c>
      <c r="I89" s="103">
        <v>13500</v>
      </c>
      <c r="J89" s="107">
        <v>50300</v>
      </c>
      <c r="K89" s="91"/>
      <c r="L89" s="85"/>
      <c r="M89" s="110">
        <v>50300</v>
      </c>
    </row>
    <row r="90" spans="1:13" x14ac:dyDescent="0.25">
      <c r="A90" s="1">
        <f t="shared" si="2"/>
        <v>15</v>
      </c>
      <c r="B90" s="31" t="s">
        <v>127</v>
      </c>
      <c r="C90" s="58" t="s">
        <v>128</v>
      </c>
      <c r="D90" s="70" t="s">
        <v>335</v>
      </c>
      <c r="E90" s="96">
        <v>1768</v>
      </c>
      <c r="F90" s="96">
        <v>1768</v>
      </c>
      <c r="G90" s="87">
        <v>0</v>
      </c>
      <c r="H90" s="110">
        <v>0</v>
      </c>
      <c r="I90" s="103">
        <v>3000</v>
      </c>
      <c r="J90" s="107">
        <v>3000</v>
      </c>
      <c r="K90" s="107">
        <v>3000</v>
      </c>
      <c r="L90" s="85" t="s">
        <v>358</v>
      </c>
      <c r="M90" s="110">
        <v>0</v>
      </c>
    </row>
    <row r="91" spans="1:13" x14ac:dyDescent="0.25">
      <c r="A91" s="1">
        <f t="shared" si="2"/>
        <v>16</v>
      </c>
      <c r="B91" s="31" t="s">
        <v>129</v>
      </c>
      <c r="C91" s="58" t="s">
        <v>130</v>
      </c>
      <c r="D91" s="70" t="s">
        <v>335</v>
      </c>
      <c r="E91" s="96">
        <v>2373</v>
      </c>
      <c r="F91" s="96">
        <v>2389</v>
      </c>
      <c r="G91" s="87">
        <v>10</v>
      </c>
      <c r="H91" s="110">
        <v>0</v>
      </c>
      <c r="I91" s="103">
        <v>14550</v>
      </c>
      <c r="J91" s="107">
        <v>14550</v>
      </c>
      <c r="K91" s="107">
        <v>14550</v>
      </c>
      <c r="L91" s="85" t="s">
        <v>358</v>
      </c>
      <c r="M91" s="110">
        <v>0</v>
      </c>
    </row>
    <row r="92" spans="1:13" x14ac:dyDescent="0.25">
      <c r="A92" s="1">
        <f t="shared" si="2"/>
        <v>17</v>
      </c>
      <c r="B92" s="31" t="s">
        <v>131</v>
      </c>
      <c r="C92" s="58" t="s">
        <v>132</v>
      </c>
      <c r="D92" s="70" t="s">
        <v>335</v>
      </c>
      <c r="E92" s="96">
        <v>161</v>
      </c>
      <c r="F92" s="96">
        <v>163</v>
      </c>
      <c r="G92" s="87">
        <v>2</v>
      </c>
      <c r="H92" s="110">
        <v>0</v>
      </c>
      <c r="I92" s="103">
        <v>4400</v>
      </c>
      <c r="J92" s="107">
        <v>32400</v>
      </c>
      <c r="K92" s="107">
        <v>32400</v>
      </c>
      <c r="L92" s="85" t="s">
        <v>399</v>
      </c>
      <c r="M92" s="110">
        <v>28000</v>
      </c>
    </row>
    <row r="93" spans="1:13" x14ac:dyDescent="0.25">
      <c r="A93" s="1">
        <f t="shared" si="2"/>
        <v>18</v>
      </c>
      <c r="B93" s="31" t="s">
        <v>133</v>
      </c>
      <c r="C93" s="58" t="s">
        <v>134</v>
      </c>
      <c r="D93" s="70" t="s">
        <v>335</v>
      </c>
      <c r="E93" s="96">
        <v>1510</v>
      </c>
      <c r="F93" s="96">
        <v>1525</v>
      </c>
      <c r="G93" s="87">
        <v>15</v>
      </c>
      <c r="H93" s="110">
        <v>12800</v>
      </c>
      <c r="I93" s="103">
        <v>13500</v>
      </c>
      <c r="J93" s="107">
        <v>26300</v>
      </c>
      <c r="K93" s="91"/>
      <c r="L93" s="85"/>
      <c r="M93" s="110">
        <v>26300</v>
      </c>
    </row>
    <row r="94" spans="1:13" x14ac:dyDescent="0.25">
      <c r="A94" s="1">
        <f t="shared" si="2"/>
        <v>19</v>
      </c>
      <c r="B94" s="31" t="s">
        <v>135</v>
      </c>
      <c r="C94" s="58" t="s">
        <v>136</v>
      </c>
      <c r="D94" s="70" t="s">
        <v>335</v>
      </c>
      <c r="E94" s="96">
        <v>343</v>
      </c>
      <c r="F94" s="96">
        <v>343</v>
      </c>
      <c r="G94" s="87">
        <v>0</v>
      </c>
      <c r="H94" s="110">
        <v>0</v>
      </c>
      <c r="I94" s="103">
        <v>3000</v>
      </c>
      <c r="J94" s="107">
        <v>3000</v>
      </c>
      <c r="K94" s="107"/>
      <c r="L94" s="85"/>
      <c r="M94" s="110">
        <v>3000</v>
      </c>
    </row>
    <row r="95" spans="1:13" x14ac:dyDescent="0.25">
      <c r="A95" s="1">
        <f t="shared" si="2"/>
        <v>20</v>
      </c>
      <c r="B95" s="31" t="s">
        <v>137</v>
      </c>
      <c r="C95" s="58" t="s">
        <v>138</v>
      </c>
      <c r="D95" s="70" t="s">
        <v>335</v>
      </c>
      <c r="E95" s="96">
        <v>2304</v>
      </c>
      <c r="F95" s="96">
        <v>2310</v>
      </c>
      <c r="G95" s="87">
        <v>6</v>
      </c>
      <c r="H95" s="110">
        <v>0</v>
      </c>
      <c r="I95" s="103">
        <v>7200</v>
      </c>
      <c r="J95" s="107">
        <v>7200</v>
      </c>
      <c r="K95" s="107"/>
      <c r="L95" s="85"/>
      <c r="M95" s="110">
        <v>20540</v>
      </c>
    </row>
    <row r="96" spans="1:13" x14ac:dyDescent="0.25">
      <c r="A96" s="1">
        <f t="shared" si="2"/>
        <v>21</v>
      </c>
      <c r="B96" s="31" t="s">
        <v>139</v>
      </c>
      <c r="C96" s="58" t="s">
        <v>140</v>
      </c>
      <c r="D96" s="70" t="s">
        <v>335</v>
      </c>
      <c r="E96" s="96">
        <v>1</v>
      </c>
      <c r="F96" s="96">
        <v>1</v>
      </c>
      <c r="G96" s="87">
        <v>0</v>
      </c>
      <c r="H96" s="110">
        <v>0</v>
      </c>
      <c r="I96" s="103">
        <v>3000</v>
      </c>
      <c r="J96" s="107">
        <v>3000</v>
      </c>
      <c r="K96" s="107"/>
      <c r="L96" s="85"/>
      <c r="M96" s="110">
        <v>14200</v>
      </c>
    </row>
    <row r="97" spans="1:13" x14ac:dyDescent="0.25">
      <c r="A97" s="1">
        <f t="shared" si="2"/>
        <v>22</v>
      </c>
      <c r="B97" s="31" t="s">
        <v>141</v>
      </c>
      <c r="C97" s="58" t="s">
        <v>142</v>
      </c>
      <c r="D97" s="70" t="s">
        <v>335</v>
      </c>
      <c r="E97" s="96">
        <v>147</v>
      </c>
      <c r="F97" s="96">
        <v>148</v>
      </c>
      <c r="G97" s="87">
        <v>1</v>
      </c>
      <c r="H97" s="110">
        <v>0</v>
      </c>
      <c r="I97" s="103">
        <v>3700</v>
      </c>
      <c r="J97" s="107">
        <v>3700</v>
      </c>
      <c r="K97" s="107"/>
      <c r="L97" s="85"/>
      <c r="M97" s="110">
        <v>3700</v>
      </c>
    </row>
    <row r="98" spans="1:13" x14ac:dyDescent="0.25">
      <c r="A98" s="1">
        <f t="shared" si="2"/>
        <v>23</v>
      </c>
      <c r="B98" s="31" t="s">
        <v>143</v>
      </c>
      <c r="C98" s="58" t="s">
        <v>144</v>
      </c>
      <c r="D98" s="70" t="s">
        <v>335</v>
      </c>
      <c r="E98" s="96">
        <v>0</v>
      </c>
      <c r="F98" s="96">
        <v>0</v>
      </c>
      <c r="G98" s="87">
        <v>0</v>
      </c>
      <c r="H98" s="110">
        <v>3000</v>
      </c>
      <c r="I98" s="103">
        <v>3000</v>
      </c>
      <c r="J98" s="107">
        <v>6000</v>
      </c>
      <c r="K98" s="107">
        <v>6000</v>
      </c>
      <c r="L98" s="85" t="s">
        <v>358</v>
      </c>
      <c r="M98" s="110">
        <v>0</v>
      </c>
    </row>
    <row r="99" spans="1:13" x14ac:dyDescent="0.25">
      <c r="A99" s="1">
        <f t="shared" si="2"/>
        <v>24</v>
      </c>
      <c r="B99" s="134" t="s">
        <v>145</v>
      </c>
      <c r="C99" s="135" t="s">
        <v>146</v>
      </c>
      <c r="D99" s="121" t="s">
        <v>335</v>
      </c>
      <c r="E99" s="123">
        <v>2300</v>
      </c>
      <c r="F99" s="123">
        <v>2319</v>
      </c>
      <c r="G99" s="125">
        <v>19</v>
      </c>
      <c r="H99" s="126">
        <v>0</v>
      </c>
      <c r="I99" s="124">
        <v>10950</v>
      </c>
      <c r="J99" s="126">
        <v>10950</v>
      </c>
      <c r="K99" s="126">
        <v>10950</v>
      </c>
      <c r="L99" s="127" t="s">
        <v>358</v>
      </c>
      <c r="M99" s="126">
        <v>0</v>
      </c>
    </row>
    <row r="100" spans="1:13" x14ac:dyDescent="0.25">
      <c r="A100" s="1">
        <f t="shared" si="2"/>
        <v>25</v>
      </c>
      <c r="B100" s="134" t="s">
        <v>147</v>
      </c>
      <c r="C100" s="135" t="s">
        <v>148</v>
      </c>
      <c r="D100" s="121" t="s">
        <v>335</v>
      </c>
      <c r="E100" s="123">
        <v>2163</v>
      </c>
      <c r="F100" s="123">
        <v>2173</v>
      </c>
      <c r="G100" s="125">
        <v>10</v>
      </c>
      <c r="H100" s="126">
        <v>0</v>
      </c>
      <c r="I100" s="124">
        <v>5000</v>
      </c>
      <c r="J100" s="126">
        <v>5000</v>
      </c>
      <c r="K100" s="126">
        <v>5000</v>
      </c>
      <c r="L100" s="127" t="s">
        <v>358</v>
      </c>
      <c r="M100" s="126">
        <v>0</v>
      </c>
    </row>
    <row r="101" spans="1:13" x14ac:dyDescent="0.25">
      <c r="A101" s="1">
        <f t="shared" si="2"/>
        <v>26</v>
      </c>
      <c r="B101" s="31" t="s">
        <v>149</v>
      </c>
      <c r="C101" s="58" t="s">
        <v>150</v>
      </c>
      <c r="D101" s="70" t="s">
        <v>335</v>
      </c>
      <c r="E101" s="96">
        <v>91</v>
      </c>
      <c r="F101" s="96">
        <v>91</v>
      </c>
      <c r="G101" s="87">
        <v>0</v>
      </c>
      <c r="H101" s="110">
        <v>4400</v>
      </c>
      <c r="I101" s="103">
        <v>3000</v>
      </c>
      <c r="J101" s="107">
        <v>7400</v>
      </c>
      <c r="K101" s="107">
        <v>7400</v>
      </c>
      <c r="L101" s="85" t="s">
        <v>358</v>
      </c>
      <c r="M101" s="110">
        <v>0</v>
      </c>
    </row>
    <row r="102" spans="1:13" x14ac:dyDescent="0.25">
      <c r="A102" s="1">
        <f t="shared" si="2"/>
        <v>27</v>
      </c>
      <c r="B102" s="31" t="s">
        <v>151</v>
      </c>
      <c r="C102" s="58" t="s">
        <v>152</v>
      </c>
      <c r="D102" s="70" t="s">
        <v>335</v>
      </c>
      <c r="E102" s="96">
        <v>861</v>
      </c>
      <c r="F102" s="96">
        <v>863</v>
      </c>
      <c r="G102" s="87">
        <v>2</v>
      </c>
      <c r="H102" s="110">
        <v>5800</v>
      </c>
      <c r="I102" s="103">
        <v>4400</v>
      </c>
      <c r="J102" s="107">
        <v>10200</v>
      </c>
      <c r="K102" s="91"/>
      <c r="L102" s="85"/>
      <c r="M102" s="110">
        <v>10200</v>
      </c>
    </row>
    <row r="103" spans="1:13" x14ac:dyDescent="0.25">
      <c r="A103" s="1">
        <f t="shared" si="2"/>
        <v>28</v>
      </c>
      <c r="B103" s="31" t="s">
        <v>153</v>
      </c>
      <c r="C103" s="58" t="s">
        <v>154</v>
      </c>
      <c r="D103" s="70" t="s">
        <v>335</v>
      </c>
      <c r="E103" s="96">
        <v>225</v>
      </c>
      <c r="F103" s="96">
        <v>225</v>
      </c>
      <c r="G103" s="87">
        <v>0</v>
      </c>
      <c r="H103" s="110">
        <v>0</v>
      </c>
      <c r="I103" s="103">
        <v>3000</v>
      </c>
      <c r="J103" s="107">
        <v>3000</v>
      </c>
      <c r="K103" s="107">
        <v>3000</v>
      </c>
      <c r="L103" s="84" t="s">
        <v>358</v>
      </c>
      <c r="M103" s="110">
        <v>0</v>
      </c>
    </row>
    <row r="104" spans="1:13" x14ac:dyDescent="0.25">
      <c r="A104" s="1">
        <f t="shared" si="2"/>
        <v>29</v>
      </c>
      <c r="B104" s="31" t="s">
        <v>155</v>
      </c>
      <c r="C104" s="58" t="s">
        <v>156</v>
      </c>
      <c r="D104" s="70" t="s">
        <v>335</v>
      </c>
      <c r="E104" s="96">
        <v>2316</v>
      </c>
      <c r="F104" s="96">
        <v>2318</v>
      </c>
      <c r="G104" s="87">
        <v>2</v>
      </c>
      <c r="H104" s="110">
        <v>0</v>
      </c>
      <c r="I104" s="103">
        <v>4400</v>
      </c>
      <c r="J104" s="107">
        <v>4400</v>
      </c>
      <c r="K104" s="107">
        <v>4400</v>
      </c>
      <c r="L104" s="85" t="s">
        <v>399</v>
      </c>
      <c r="M104" s="110">
        <v>0</v>
      </c>
    </row>
    <row r="105" spans="1:13" x14ac:dyDescent="0.25">
      <c r="A105" s="1">
        <f t="shared" si="2"/>
        <v>30</v>
      </c>
      <c r="B105" s="31" t="s">
        <v>157</v>
      </c>
      <c r="C105" s="58" t="s">
        <v>158</v>
      </c>
      <c r="D105" s="70" t="s">
        <v>335</v>
      </c>
      <c r="E105" s="96">
        <v>1147</v>
      </c>
      <c r="F105" s="96">
        <v>1155</v>
      </c>
      <c r="G105" s="87">
        <v>8</v>
      </c>
      <c r="H105" s="110">
        <v>0</v>
      </c>
      <c r="I105" s="103">
        <v>8600</v>
      </c>
      <c r="J105" s="107">
        <v>8600</v>
      </c>
      <c r="K105" s="107">
        <v>8600</v>
      </c>
      <c r="L105" s="84" t="s">
        <v>358</v>
      </c>
      <c r="M105" s="110">
        <v>0</v>
      </c>
    </row>
    <row r="106" spans="1:13" x14ac:dyDescent="0.25">
      <c r="A106" s="1">
        <f t="shared" si="2"/>
        <v>31</v>
      </c>
      <c r="B106" s="31" t="s">
        <v>159</v>
      </c>
      <c r="C106" s="58" t="s">
        <v>160</v>
      </c>
      <c r="D106" s="70" t="s">
        <v>335</v>
      </c>
      <c r="E106" s="96">
        <v>1365</v>
      </c>
      <c r="F106" s="96">
        <v>1370</v>
      </c>
      <c r="G106" s="87">
        <v>5</v>
      </c>
      <c r="H106" s="110">
        <v>0</v>
      </c>
      <c r="I106" s="103">
        <v>6500</v>
      </c>
      <c r="J106" s="107">
        <v>6500</v>
      </c>
      <c r="K106" s="107">
        <v>6500</v>
      </c>
      <c r="L106" s="85" t="s">
        <v>399</v>
      </c>
      <c r="M106" s="110">
        <v>0</v>
      </c>
    </row>
    <row r="107" spans="1:13" x14ac:dyDescent="0.25">
      <c r="A107" s="1">
        <f t="shared" si="2"/>
        <v>32</v>
      </c>
      <c r="B107" s="31" t="s">
        <v>161</v>
      </c>
      <c r="C107" s="58" t="s">
        <v>162</v>
      </c>
      <c r="D107" s="70" t="s">
        <v>335</v>
      </c>
      <c r="E107" s="96">
        <v>1257</v>
      </c>
      <c r="F107" s="96">
        <v>1263</v>
      </c>
      <c r="G107" s="87">
        <v>6</v>
      </c>
      <c r="H107" s="110">
        <v>0</v>
      </c>
      <c r="I107" s="103">
        <v>7200</v>
      </c>
      <c r="J107" s="107">
        <v>7200</v>
      </c>
      <c r="K107" s="107">
        <v>7200</v>
      </c>
      <c r="L107" s="85" t="s">
        <v>399</v>
      </c>
      <c r="M107" s="110">
        <v>0</v>
      </c>
    </row>
    <row r="108" spans="1:13" x14ac:dyDescent="0.25">
      <c r="A108" s="1">
        <f t="shared" si="2"/>
        <v>33</v>
      </c>
      <c r="B108" s="134" t="s">
        <v>163</v>
      </c>
      <c r="C108" s="135" t="s">
        <v>164</v>
      </c>
      <c r="D108" s="121" t="s">
        <v>335</v>
      </c>
      <c r="E108" s="123">
        <v>2469</v>
      </c>
      <c r="F108" s="123">
        <v>2477</v>
      </c>
      <c r="G108" s="125">
        <v>8</v>
      </c>
      <c r="H108" s="126">
        <v>0</v>
      </c>
      <c r="I108" s="124">
        <v>4300</v>
      </c>
      <c r="J108" s="126">
        <v>4300</v>
      </c>
      <c r="K108" s="126">
        <v>4300</v>
      </c>
      <c r="L108" s="126" t="s">
        <v>358</v>
      </c>
      <c r="M108" s="126">
        <v>0</v>
      </c>
    </row>
    <row r="109" spans="1:13" x14ac:dyDescent="0.25">
      <c r="A109" s="1">
        <f t="shared" si="2"/>
        <v>34</v>
      </c>
      <c r="B109" s="31" t="s">
        <v>165</v>
      </c>
      <c r="C109" s="58" t="s">
        <v>166</v>
      </c>
      <c r="D109" s="70" t="s">
        <v>335</v>
      </c>
      <c r="E109" s="96">
        <v>1116</v>
      </c>
      <c r="F109" s="96">
        <v>1122</v>
      </c>
      <c r="G109" s="87">
        <v>6</v>
      </c>
      <c r="H109" s="110">
        <v>0</v>
      </c>
      <c r="I109" s="103">
        <v>7200</v>
      </c>
      <c r="J109" s="107">
        <v>7200</v>
      </c>
      <c r="K109" s="107"/>
      <c r="L109" s="85"/>
      <c r="M109" s="110">
        <v>7200</v>
      </c>
    </row>
    <row r="110" spans="1:13" x14ac:dyDescent="0.25">
      <c r="A110" s="1">
        <f t="shared" si="2"/>
        <v>35</v>
      </c>
      <c r="B110" s="31" t="s">
        <v>167</v>
      </c>
      <c r="C110" s="58" t="s">
        <v>168</v>
      </c>
      <c r="D110" s="70" t="s">
        <v>335</v>
      </c>
      <c r="E110" s="96">
        <v>103</v>
      </c>
      <c r="F110" s="96">
        <v>103</v>
      </c>
      <c r="G110" s="87">
        <v>0</v>
      </c>
      <c r="H110" s="110">
        <v>3700</v>
      </c>
      <c r="I110" s="103">
        <v>3000</v>
      </c>
      <c r="J110" s="107">
        <v>6700</v>
      </c>
      <c r="K110" s="107">
        <v>6700</v>
      </c>
      <c r="L110" s="85" t="s">
        <v>399</v>
      </c>
      <c r="M110" s="110">
        <v>0</v>
      </c>
    </row>
    <row r="111" spans="1:13" x14ac:dyDescent="0.25">
      <c r="A111" s="1">
        <f t="shared" si="2"/>
        <v>36</v>
      </c>
      <c r="B111" s="31" t="s">
        <v>169</v>
      </c>
      <c r="C111" s="58" t="s">
        <v>170</v>
      </c>
      <c r="D111" s="70" t="s">
        <v>335</v>
      </c>
      <c r="E111" s="96">
        <v>2650</v>
      </c>
      <c r="F111" s="96">
        <v>2668</v>
      </c>
      <c r="G111" s="87">
        <v>18</v>
      </c>
      <c r="H111" s="110">
        <v>0</v>
      </c>
      <c r="I111" s="103">
        <v>16650</v>
      </c>
      <c r="J111" s="107">
        <v>16650</v>
      </c>
      <c r="K111" s="107"/>
      <c r="L111" s="84"/>
      <c r="M111" s="110">
        <v>16650</v>
      </c>
    </row>
    <row r="112" spans="1:13" x14ac:dyDescent="0.25">
      <c r="A112" s="9">
        <f t="shared" si="2"/>
        <v>37</v>
      </c>
      <c r="B112" s="152" t="s">
        <v>171</v>
      </c>
      <c r="C112" s="153" t="s">
        <v>172</v>
      </c>
      <c r="D112" s="154" t="s">
        <v>335</v>
      </c>
      <c r="E112" s="155">
        <v>3640</v>
      </c>
      <c r="F112" s="155">
        <v>3689</v>
      </c>
      <c r="G112" s="156">
        <v>49</v>
      </c>
      <c r="H112" s="157">
        <v>0</v>
      </c>
      <c r="I112" s="158">
        <v>49100</v>
      </c>
      <c r="J112" s="157">
        <v>49100</v>
      </c>
      <c r="K112" s="157">
        <v>49100</v>
      </c>
      <c r="L112" s="159" t="s">
        <v>358</v>
      </c>
      <c r="M112" s="157">
        <v>0</v>
      </c>
    </row>
    <row r="113" spans="1:13" x14ac:dyDescent="0.25">
      <c r="A113" s="1">
        <f t="shared" si="2"/>
        <v>38</v>
      </c>
      <c r="B113" s="31" t="s">
        <v>371</v>
      </c>
      <c r="C113" s="58" t="s">
        <v>174</v>
      </c>
      <c r="D113" s="70" t="s">
        <v>335</v>
      </c>
      <c r="E113" s="96">
        <v>4370</v>
      </c>
      <c r="F113" s="96">
        <v>4410</v>
      </c>
      <c r="G113" s="87">
        <v>40</v>
      </c>
      <c r="H113" s="110">
        <v>38000</v>
      </c>
      <c r="I113" s="103">
        <v>43250</v>
      </c>
      <c r="J113" s="107">
        <v>81250</v>
      </c>
      <c r="K113" s="107">
        <v>81250</v>
      </c>
      <c r="L113" s="85" t="s">
        <v>358</v>
      </c>
      <c r="M113" s="110">
        <v>0</v>
      </c>
    </row>
    <row r="114" spans="1:13" x14ac:dyDescent="0.25">
      <c r="A114" s="1">
        <f t="shared" si="2"/>
        <v>39</v>
      </c>
      <c r="B114" s="31" t="s">
        <v>175</v>
      </c>
      <c r="C114" s="58" t="s">
        <v>176</v>
      </c>
      <c r="D114" s="70" t="s">
        <v>335</v>
      </c>
      <c r="E114" s="96">
        <v>1085</v>
      </c>
      <c r="F114" s="96">
        <v>1094</v>
      </c>
      <c r="G114" s="87">
        <v>9</v>
      </c>
      <c r="H114" s="110">
        <v>94500</v>
      </c>
      <c r="I114" s="103">
        <v>9300</v>
      </c>
      <c r="J114" s="107">
        <v>103800</v>
      </c>
      <c r="K114" s="91"/>
      <c r="L114" s="85"/>
      <c r="M114" s="110">
        <v>103800</v>
      </c>
    </row>
    <row r="115" spans="1:13" x14ac:dyDescent="0.25">
      <c r="A115" s="1">
        <f t="shared" si="2"/>
        <v>40</v>
      </c>
      <c r="B115" s="31" t="s">
        <v>177</v>
      </c>
      <c r="C115" s="58" t="s">
        <v>178</v>
      </c>
      <c r="D115" s="70" t="s">
        <v>335</v>
      </c>
      <c r="E115" s="96">
        <v>88</v>
      </c>
      <c r="F115" s="96">
        <v>88</v>
      </c>
      <c r="G115" s="87"/>
      <c r="H115" s="110">
        <v>0</v>
      </c>
      <c r="I115" s="103">
        <v>3000</v>
      </c>
      <c r="J115" s="107">
        <v>3000</v>
      </c>
      <c r="K115" s="107"/>
      <c r="L115" s="85"/>
      <c r="M115" s="110">
        <v>3000</v>
      </c>
    </row>
    <row r="116" spans="1:13" x14ac:dyDescent="0.25">
      <c r="A116" s="9">
        <f t="shared" si="2"/>
        <v>41</v>
      </c>
      <c r="B116" s="136" t="s">
        <v>179</v>
      </c>
      <c r="C116" s="137" t="s">
        <v>180</v>
      </c>
      <c r="D116" s="117" t="s">
        <v>335</v>
      </c>
      <c r="E116" s="96">
        <v>1879</v>
      </c>
      <c r="F116" s="96">
        <v>1895</v>
      </c>
      <c r="G116" s="87">
        <v>16</v>
      </c>
      <c r="H116" s="110">
        <v>0</v>
      </c>
      <c r="I116" s="103">
        <v>14550</v>
      </c>
      <c r="J116" s="107">
        <v>14550</v>
      </c>
      <c r="K116" s="107">
        <v>14550</v>
      </c>
      <c r="L116" s="118" t="s">
        <v>358</v>
      </c>
      <c r="M116" s="110">
        <v>0</v>
      </c>
    </row>
    <row r="117" spans="1:13" x14ac:dyDescent="0.25">
      <c r="A117" s="1">
        <f t="shared" si="2"/>
        <v>42</v>
      </c>
      <c r="B117" s="31" t="s">
        <v>181</v>
      </c>
      <c r="C117" s="58" t="s">
        <v>182</v>
      </c>
      <c r="D117" s="70" t="s">
        <v>335</v>
      </c>
      <c r="E117" s="96">
        <v>1718</v>
      </c>
      <c r="F117" s="96">
        <v>1745</v>
      </c>
      <c r="G117" s="87">
        <v>27</v>
      </c>
      <c r="H117" s="110">
        <v>0</v>
      </c>
      <c r="I117" s="103">
        <v>26100</v>
      </c>
      <c r="J117" s="107">
        <v>26100</v>
      </c>
      <c r="K117" s="107"/>
      <c r="L117" s="85"/>
      <c r="M117" s="110">
        <v>26100</v>
      </c>
    </row>
    <row r="118" spans="1:13" x14ac:dyDescent="0.25">
      <c r="A118" s="1">
        <f t="shared" si="2"/>
        <v>43</v>
      </c>
      <c r="B118" s="31" t="s">
        <v>183</v>
      </c>
      <c r="C118" s="58" t="s">
        <v>184</v>
      </c>
      <c r="D118" s="70" t="s">
        <v>335</v>
      </c>
      <c r="E118" s="96">
        <v>291</v>
      </c>
      <c r="F118" s="96">
        <v>300</v>
      </c>
      <c r="G118" s="87">
        <v>9</v>
      </c>
      <c r="H118" s="110">
        <v>0</v>
      </c>
      <c r="I118" s="103">
        <v>9300</v>
      </c>
      <c r="J118" s="107">
        <v>9300</v>
      </c>
      <c r="K118" s="107">
        <v>9300</v>
      </c>
      <c r="L118" s="85" t="s">
        <v>358</v>
      </c>
      <c r="M118" s="110">
        <v>0</v>
      </c>
    </row>
    <row r="119" spans="1:13" x14ac:dyDescent="0.25">
      <c r="A119" s="1">
        <f t="shared" si="2"/>
        <v>44</v>
      </c>
      <c r="B119" s="31" t="s">
        <v>185</v>
      </c>
      <c r="C119" s="58" t="s">
        <v>186</v>
      </c>
      <c r="D119" s="70" t="s">
        <v>335</v>
      </c>
      <c r="E119" s="96">
        <v>2362</v>
      </c>
      <c r="F119" s="96">
        <v>2365</v>
      </c>
      <c r="G119" s="87">
        <v>3</v>
      </c>
      <c r="H119" s="110">
        <v>48900</v>
      </c>
      <c r="I119" s="103">
        <v>5100</v>
      </c>
      <c r="J119" s="107">
        <v>54000</v>
      </c>
      <c r="K119" s="107">
        <v>40000</v>
      </c>
      <c r="L119" s="85" t="s">
        <v>399</v>
      </c>
      <c r="M119" s="110">
        <v>14000</v>
      </c>
    </row>
    <row r="120" spans="1:13" x14ac:dyDescent="0.25">
      <c r="A120" s="1">
        <f t="shared" si="2"/>
        <v>45</v>
      </c>
      <c r="B120" s="31" t="s">
        <v>187</v>
      </c>
      <c r="C120" s="58" t="s">
        <v>188</v>
      </c>
      <c r="D120" s="70" t="s">
        <v>335</v>
      </c>
      <c r="E120" s="96">
        <v>3550</v>
      </c>
      <c r="F120" s="96">
        <v>3561</v>
      </c>
      <c r="G120" s="87">
        <v>11</v>
      </c>
      <c r="H120" s="110">
        <v>0</v>
      </c>
      <c r="I120" s="103">
        <v>10700</v>
      </c>
      <c r="J120" s="107">
        <v>10700</v>
      </c>
      <c r="K120" s="107">
        <v>10700</v>
      </c>
      <c r="L120" s="85" t="s">
        <v>358</v>
      </c>
      <c r="M120" s="110">
        <v>7590</v>
      </c>
    </row>
    <row r="121" spans="1:13" x14ac:dyDescent="0.25">
      <c r="A121" s="1">
        <f t="shared" si="2"/>
        <v>46</v>
      </c>
      <c r="B121" s="31" t="s">
        <v>189</v>
      </c>
      <c r="C121" s="58" t="s">
        <v>190</v>
      </c>
      <c r="D121" s="70" t="s">
        <v>335</v>
      </c>
      <c r="E121" s="96">
        <v>18</v>
      </c>
      <c r="F121" s="96">
        <v>18</v>
      </c>
      <c r="G121" s="87">
        <v>0</v>
      </c>
      <c r="H121" s="110">
        <v>6700</v>
      </c>
      <c r="I121" s="103">
        <v>3000</v>
      </c>
      <c r="J121" s="107">
        <v>9700</v>
      </c>
      <c r="K121" s="91"/>
      <c r="L121" s="85"/>
      <c r="M121" s="110">
        <v>9700</v>
      </c>
    </row>
    <row r="122" spans="1:13" x14ac:dyDescent="0.25">
      <c r="A122" s="1">
        <f t="shared" si="2"/>
        <v>47</v>
      </c>
      <c r="B122" s="134" t="s">
        <v>191</v>
      </c>
      <c r="C122" s="135" t="s">
        <v>192</v>
      </c>
      <c r="D122" s="121" t="s">
        <v>335</v>
      </c>
      <c r="E122" s="123">
        <v>2582</v>
      </c>
      <c r="F122" s="123">
        <v>2600</v>
      </c>
      <c r="G122" s="125">
        <v>18</v>
      </c>
      <c r="H122" s="126">
        <v>0</v>
      </c>
      <c r="I122" s="124">
        <v>9900</v>
      </c>
      <c r="J122" s="126">
        <v>9900</v>
      </c>
      <c r="K122" s="126">
        <v>9900</v>
      </c>
      <c r="L122" s="127" t="s">
        <v>358</v>
      </c>
      <c r="M122" s="126">
        <v>0</v>
      </c>
    </row>
    <row r="123" spans="1:13" x14ac:dyDescent="0.25">
      <c r="A123" s="1">
        <f t="shared" si="2"/>
        <v>48</v>
      </c>
      <c r="B123" s="31" t="s">
        <v>193</v>
      </c>
      <c r="C123" s="58" t="s">
        <v>194</v>
      </c>
      <c r="D123" s="70" t="s">
        <v>335</v>
      </c>
      <c r="E123" s="96">
        <v>3229</v>
      </c>
      <c r="F123" s="96">
        <v>3251</v>
      </c>
      <c r="G123" s="87">
        <v>22</v>
      </c>
      <c r="H123" s="110">
        <v>0</v>
      </c>
      <c r="I123" s="103">
        <v>20850</v>
      </c>
      <c r="J123" s="107">
        <v>20850</v>
      </c>
      <c r="K123" s="107">
        <v>20850</v>
      </c>
      <c r="L123" s="85" t="s">
        <v>358</v>
      </c>
      <c r="M123" s="110">
        <v>0</v>
      </c>
    </row>
    <row r="124" spans="1:13" x14ac:dyDescent="0.25">
      <c r="A124" s="1">
        <f t="shared" si="2"/>
        <v>49</v>
      </c>
      <c r="B124" s="152" t="s">
        <v>195</v>
      </c>
      <c r="C124" s="153" t="s">
        <v>196</v>
      </c>
      <c r="D124" s="154" t="s">
        <v>335</v>
      </c>
      <c r="E124" s="155">
        <v>2606</v>
      </c>
      <c r="F124" s="155">
        <v>2613</v>
      </c>
      <c r="G124" s="156">
        <v>7</v>
      </c>
      <c r="H124" s="157">
        <v>0</v>
      </c>
      <c r="I124" s="158">
        <v>3950</v>
      </c>
      <c r="J124" s="157">
        <v>3950</v>
      </c>
      <c r="K124" s="157">
        <v>3950</v>
      </c>
      <c r="L124" s="159" t="s">
        <v>358</v>
      </c>
      <c r="M124" s="157">
        <v>0</v>
      </c>
    </row>
    <row r="125" spans="1:13" x14ac:dyDescent="0.25">
      <c r="A125" s="1">
        <f t="shared" si="2"/>
        <v>50</v>
      </c>
      <c r="B125" s="31" t="s">
        <v>361</v>
      </c>
      <c r="C125" s="58" t="s">
        <v>198</v>
      </c>
      <c r="D125" s="70" t="s">
        <v>335</v>
      </c>
      <c r="E125" s="96">
        <v>1210</v>
      </c>
      <c r="F125" s="96">
        <v>1220</v>
      </c>
      <c r="G125" s="87">
        <v>10</v>
      </c>
      <c r="H125" s="110">
        <v>12800</v>
      </c>
      <c r="I125" s="103">
        <v>10000</v>
      </c>
      <c r="J125" s="107">
        <v>22800</v>
      </c>
      <c r="K125" s="91"/>
      <c r="L125" s="85"/>
      <c r="M125" s="110">
        <v>22800</v>
      </c>
    </row>
    <row r="126" spans="1:13" x14ac:dyDescent="0.25">
      <c r="A126" s="1">
        <f t="shared" si="2"/>
        <v>51</v>
      </c>
      <c r="B126" s="31" t="s">
        <v>199</v>
      </c>
      <c r="C126" s="58" t="s">
        <v>200</v>
      </c>
      <c r="D126" s="70" t="s">
        <v>335</v>
      </c>
      <c r="E126" s="96">
        <v>1385</v>
      </c>
      <c r="F126" s="96">
        <v>1393</v>
      </c>
      <c r="G126" s="87">
        <v>8</v>
      </c>
      <c r="H126" s="110">
        <v>0</v>
      </c>
      <c r="I126" s="103">
        <v>8600</v>
      </c>
      <c r="J126" s="107">
        <v>8600</v>
      </c>
      <c r="K126" s="107">
        <v>8600</v>
      </c>
      <c r="L126" s="85" t="s">
        <v>358</v>
      </c>
      <c r="M126" s="110">
        <v>0</v>
      </c>
    </row>
    <row r="127" spans="1:13" x14ac:dyDescent="0.25">
      <c r="A127" s="1">
        <f t="shared" si="2"/>
        <v>52</v>
      </c>
      <c r="B127" s="31" t="s">
        <v>201</v>
      </c>
      <c r="C127" s="58" t="s">
        <v>202</v>
      </c>
      <c r="D127" s="70" t="s">
        <v>335</v>
      </c>
      <c r="E127" s="96">
        <v>557</v>
      </c>
      <c r="F127" s="96">
        <v>559</v>
      </c>
      <c r="G127" s="87">
        <v>2</v>
      </c>
      <c r="H127" s="110">
        <v>0</v>
      </c>
      <c r="I127" s="103">
        <v>4400</v>
      </c>
      <c r="J127" s="107">
        <v>4400</v>
      </c>
      <c r="K127" s="107"/>
      <c r="L127" s="85"/>
      <c r="M127" s="110">
        <v>4400</v>
      </c>
    </row>
    <row r="128" spans="1:13" x14ac:dyDescent="0.25">
      <c r="A128" s="1">
        <f t="shared" si="2"/>
        <v>53</v>
      </c>
      <c r="B128" s="31" t="s">
        <v>203</v>
      </c>
      <c r="C128" s="58" t="s">
        <v>204</v>
      </c>
      <c r="D128" s="70" t="s">
        <v>335</v>
      </c>
      <c r="E128" s="96">
        <v>2713</v>
      </c>
      <c r="F128" s="96">
        <v>2719</v>
      </c>
      <c r="G128" s="87">
        <v>6</v>
      </c>
      <c r="H128" s="110">
        <v>0</v>
      </c>
      <c r="I128" s="103">
        <v>7200</v>
      </c>
      <c r="J128" s="107">
        <v>7200</v>
      </c>
      <c r="K128" s="107"/>
      <c r="L128" s="85"/>
      <c r="M128" s="110">
        <v>7200</v>
      </c>
    </row>
    <row r="129" spans="1:13" x14ac:dyDescent="0.25">
      <c r="A129" s="1">
        <f t="shared" si="2"/>
        <v>54</v>
      </c>
      <c r="B129" s="31" t="s">
        <v>205</v>
      </c>
      <c r="C129" s="58" t="s">
        <v>206</v>
      </c>
      <c r="D129" s="70" t="s">
        <v>335</v>
      </c>
      <c r="E129" s="96">
        <v>1015</v>
      </c>
      <c r="F129" s="96">
        <v>1017</v>
      </c>
      <c r="G129" s="87">
        <v>2</v>
      </c>
      <c r="H129" s="110">
        <v>16900</v>
      </c>
      <c r="I129" s="103">
        <v>4400</v>
      </c>
      <c r="J129" s="107">
        <v>21300</v>
      </c>
      <c r="K129" s="91"/>
      <c r="L129" s="85"/>
      <c r="M129" s="110">
        <v>21300</v>
      </c>
    </row>
    <row r="130" spans="1:13" x14ac:dyDescent="0.25">
      <c r="A130" s="1">
        <f t="shared" si="2"/>
        <v>55</v>
      </c>
      <c r="B130" s="31" t="s">
        <v>207</v>
      </c>
      <c r="C130" s="58" t="s">
        <v>208</v>
      </c>
      <c r="D130" s="70" t="s">
        <v>335</v>
      </c>
      <c r="E130" s="96">
        <v>181</v>
      </c>
      <c r="F130" s="96">
        <v>182</v>
      </c>
      <c r="G130" s="87">
        <v>1</v>
      </c>
      <c r="H130" s="110">
        <v>8100</v>
      </c>
      <c r="I130" s="103">
        <v>3700</v>
      </c>
      <c r="J130" s="107">
        <v>11800</v>
      </c>
      <c r="K130" s="91"/>
      <c r="L130" s="85"/>
      <c r="M130" s="110">
        <v>11800</v>
      </c>
    </row>
    <row r="131" spans="1:13" x14ac:dyDescent="0.25">
      <c r="A131" s="1">
        <f t="shared" si="2"/>
        <v>56</v>
      </c>
      <c r="B131" s="31" t="s">
        <v>209</v>
      </c>
      <c r="C131" s="58" t="s">
        <v>210</v>
      </c>
      <c r="D131" s="70" t="s">
        <v>335</v>
      </c>
      <c r="E131" s="96">
        <v>91</v>
      </c>
      <c r="F131" s="96">
        <v>91</v>
      </c>
      <c r="G131" s="87">
        <v>0</v>
      </c>
      <c r="H131" s="110">
        <v>0</v>
      </c>
      <c r="I131" s="103">
        <v>3000</v>
      </c>
      <c r="J131" s="107">
        <v>3000</v>
      </c>
      <c r="K131" s="107">
        <v>3000</v>
      </c>
      <c r="L131" s="84" t="s">
        <v>358</v>
      </c>
      <c r="M131" s="110">
        <v>0</v>
      </c>
    </row>
    <row r="132" spans="1:13" x14ac:dyDescent="0.25">
      <c r="A132" s="1">
        <f t="shared" si="2"/>
        <v>57</v>
      </c>
      <c r="B132" s="31" t="s">
        <v>211</v>
      </c>
      <c r="C132" s="58" t="s">
        <v>212</v>
      </c>
      <c r="D132" s="70" t="s">
        <v>335</v>
      </c>
      <c r="E132" s="96">
        <v>1998</v>
      </c>
      <c r="F132" s="96">
        <v>2006</v>
      </c>
      <c r="G132" s="87">
        <v>8</v>
      </c>
      <c r="H132" s="110">
        <v>0</v>
      </c>
      <c r="I132" s="103">
        <v>8600</v>
      </c>
      <c r="J132" s="107">
        <v>8600</v>
      </c>
      <c r="K132" s="107">
        <v>8600</v>
      </c>
      <c r="L132" s="85" t="s">
        <v>358</v>
      </c>
      <c r="M132" s="110">
        <v>0</v>
      </c>
    </row>
    <row r="133" spans="1:13" x14ac:dyDescent="0.25">
      <c r="A133" s="1">
        <f t="shared" si="2"/>
        <v>58</v>
      </c>
      <c r="B133" s="31" t="s">
        <v>218</v>
      </c>
      <c r="C133" s="58" t="s">
        <v>217</v>
      </c>
      <c r="D133" s="70" t="s">
        <v>335</v>
      </c>
      <c r="E133" s="96">
        <v>920</v>
      </c>
      <c r="F133" s="96">
        <v>930</v>
      </c>
      <c r="G133" s="87">
        <v>10</v>
      </c>
      <c r="H133" s="110">
        <v>0</v>
      </c>
      <c r="I133" s="103">
        <v>10000</v>
      </c>
      <c r="J133" s="107">
        <v>10000</v>
      </c>
      <c r="K133" s="107">
        <v>10000</v>
      </c>
      <c r="L133" s="85" t="s">
        <v>358</v>
      </c>
      <c r="M133" s="110">
        <v>0</v>
      </c>
    </row>
    <row r="134" spans="1:13" x14ac:dyDescent="0.25">
      <c r="A134" s="1">
        <f t="shared" si="2"/>
        <v>59</v>
      </c>
      <c r="B134" s="277" t="s">
        <v>213</v>
      </c>
      <c r="C134" s="278" t="s">
        <v>214</v>
      </c>
      <c r="D134" s="279" t="s">
        <v>335</v>
      </c>
      <c r="E134" s="280">
        <v>603</v>
      </c>
      <c r="F134" s="280">
        <v>610</v>
      </c>
      <c r="G134" s="281">
        <v>7</v>
      </c>
      <c r="H134" s="282">
        <v>0</v>
      </c>
      <c r="I134" s="283">
        <v>7900</v>
      </c>
      <c r="J134" s="282">
        <v>7900</v>
      </c>
      <c r="K134" s="282">
        <v>7900</v>
      </c>
      <c r="L134" s="284" t="s">
        <v>358</v>
      </c>
      <c r="M134" s="282">
        <v>0</v>
      </c>
    </row>
    <row r="135" spans="1:13" x14ac:dyDescent="0.25">
      <c r="A135" s="1">
        <f t="shared" si="2"/>
        <v>60</v>
      </c>
      <c r="B135" s="31" t="s">
        <v>215</v>
      </c>
      <c r="C135" s="58" t="s">
        <v>216</v>
      </c>
      <c r="D135" s="70" t="s">
        <v>335</v>
      </c>
      <c r="E135" s="96">
        <v>4120</v>
      </c>
      <c r="F135" s="96">
        <v>4128</v>
      </c>
      <c r="G135" s="87">
        <v>8</v>
      </c>
      <c r="H135" s="110">
        <v>7900</v>
      </c>
      <c r="I135" s="103">
        <v>8600</v>
      </c>
      <c r="J135" s="107">
        <v>16500</v>
      </c>
      <c r="K135" s="107">
        <v>16500</v>
      </c>
      <c r="L135" s="85" t="s">
        <v>399</v>
      </c>
      <c r="M135" s="110">
        <v>0</v>
      </c>
    </row>
    <row r="136" spans="1:13" x14ac:dyDescent="0.25">
      <c r="A136" s="1">
        <f t="shared" si="2"/>
        <v>61</v>
      </c>
      <c r="B136" s="31" t="s">
        <v>219</v>
      </c>
      <c r="C136" s="58" t="s">
        <v>220</v>
      </c>
      <c r="D136" s="70" t="s">
        <v>335</v>
      </c>
      <c r="E136" s="96">
        <v>313</v>
      </c>
      <c r="F136" s="96">
        <v>313</v>
      </c>
      <c r="G136" s="87">
        <v>0</v>
      </c>
      <c r="H136" s="110">
        <v>53700</v>
      </c>
      <c r="I136" s="103">
        <v>3000</v>
      </c>
      <c r="J136" s="107">
        <v>56700</v>
      </c>
      <c r="K136" s="91"/>
      <c r="L136" s="85"/>
      <c r="M136" s="110">
        <v>56700</v>
      </c>
    </row>
    <row r="137" spans="1:13" x14ac:dyDescent="0.25">
      <c r="A137" s="1">
        <f t="shared" si="2"/>
        <v>62</v>
      </c>
      <c r="B137" s="31" t="s">
        <v>221</v>
      </c>
      <c r="C137" s="58" t="s">
        <v>222</v>
      </c>
      <c r="D137" s="70" t="s">
        <v>335</v>
      </c>
      <c r="E137" s="96">
        <v>1741</v>
      </c>
      <c r="F137" s="96">
        <v>1756</v>
      </c>
      <c r="G137" s="87">
        <v>13</v>
      </c>
      <c r="H137" s="110">
        <v>0</v>
      </c>
      <c r="I137" s="103">
        <v>13500</v>
      </c>
      <c r="J137" s="107">
        <v>13500</v>
      </c>
      <c r="K137" s="91"/>
      <c r="L137" s="85"/>
      <c r="M137" s="110">
        <v>13500</v>
      </c>
    </row>
    <row r="138" spans="1:13" x14ac:dyDescent="0.25">
      <c r="A138" s="1">
        <f t="shared" si="2"/>
        <v>63</v>
      </c>
      <c r="B138" s="31" t="s">
        <v>223</v>
      </c>
      <c r="C138" s="58" t="s">
        <v>224</v>
      </c>
      <c r="D138" s="70" t="s">
        <v>335</v>
      </c>
      <c r="E138" s="96">
        <v>2180</v>
      </c>
      <c r="F138" s="96">
        <v>2192</v>
      </c>
      <c r="G138" s="87">
        <v>12</v>
      </c>
      <c r="H138" s="110">
        <v>13500</v>
      </c>
      <c r="I138" s="103">
        <v>11400</v>
      </c>
      <c r="J138" s="107">
        <v>24900</v>
      </c>
      <c r="K138" s="107">
        <v>24000</v>
      </c>
      <c r="L138" s="85" t="s">
        <v>399</v>
      </c>
      <c r="M138" s="110">
        <v>0</v>
      </c>
    </row>
    <row r="139" spans="1:13" x14ac:dyDescent="0.25">
      <c r="A139" s="1">
        <f t="shared" si="2"/>
        <v>64</v>
      </c>
      <c r="B139" s="31" t="s">
        <v>225</v>
      </c>
      <c r="C139" s="58" t="s">
        <v>226</v>
      </c>
      <c r="D139" s="70" t="s">
        <v>335</v>
      </c>
      <c r="E139" s="96">
        <v>1361</v>
      </c>
      <c r="F139" s="96">
        <v>1372</v>
      </c>
      <c r="G139" s="87">
        <v>11</v>
      </c>
      <c r="H139" s="110">
        <v>0</v>
      </c>
      <c r="I139" s="103">
        <v>10700</v>
      </c>
      <c r="J139" s="107">
        <v>10700</v>
      </c>
      <c r="K139" s="107">
        <v>10700</v>
      </c>
      <c r="L139" s="85" t="s">
        <v>399</v>
      </c>
      <c r="M139" s="110">
        <v>0</v>
      </c>
    </row>
    <row r="140" spans="1:13" x14ac:dyDescent="0.25">
      <c r="A140" s="1">
        <f t="shared" si="2"/>
        <v>65</v>
      </c>
      <c r="B140" s="31" t="s">
        <v>227</v>
      </c>
      <c r="C140" s="58" t="s">
        <v>228</v>
      </c>
      <c r="D140" s="70" t="s">
        <v>335</v>
      </c>
      <c r="E140" s="96"/>
      <c r="F140" s="96"/>
      <c r="G140" s="87"/>
      <c r="H140" s="111"/>
      <c r="I140" s="92"/>
      <c r="J140" s="91"/>
      <c r="K140" s="91"/>
      <c r="L140" s="85"/>
      <c r="M140" s="111"/>
    </row>
    <row r="141" spans="1:13" x14ac:dyDescent="0.25">
      <c r="A141" s="1">
        <f t="shared" ref="A141:A195" si="3">A140+1</f>
        <v>66</v>
      </c>
      <c r="B141" s="31" t="s">
        <v>229</v>
      </c>
      <c r="C141" s="58" t="s">
        <v>230</v>
      </c>
      <c r="D141" s="70" t="s">
        <v>335</v>
      </c>
      <c r="E141" s="96">
        <v>1454</v>
      </c>
      <c r="F141" s="96">
        <v>1458</v>
      </c>
      <c r="G141" s="87">
        <v>4</v>
      </c>
      <c r="H141" s="110">
        <v>74700</v>
      </c>
      <c r="I141" s="103">
        <v>5800</v>
      </c>
      <c r="J141" s="107">
        <v>80500</v>
      </c>
      <c r="K141" s="91"/>
      <c r="L141" s="85"/>
      <c r="M141" s="110">
        <v>80500</v>
      </c>
    </row>
    <row r="142" spans="1:13" x14ac:dyDescent="0.25">
      <c r="A142" s="1">
        <f t="shared" si="3"/>
        <v>67</v>
      </c>
      <c r="B142" s="134" t="s">
        <v>231</v>
      </c>
      <c r="C142" s="135" t="s">
        <v>232</v>
      </c>
      <c r="D142" s="121" t="s">
        <v>335</v>
      </c>
      <c r="E142" s="123">
        <v>3480</v>
      </c>
      <c r="F142" s="123">
        <v>3495</v>
      </c>
      <c r="G142" s="125">
        <v>15</v>
      </c>
      <c r="H142" s="126">
        <v>0</v>
      </c>
      <c r="I142" s="124">
        <v>6750</v>
      </c>
      <c r="J142" s="126">
        <v>6750</v>
      </c>
      <c r="K142" s="126">
        <v>6750</v>
      </c>
      <c r="L142" s="127" t="s">
        <v>358</v>
      </c>
      <c r="M142" s="126">
        <v>53090</v>
      </c>
    </row>
    <row r="143" spans="1:13" x14ac:dyDescent="0.25">
      <c r="A143" s="1">
        <f t="shared" si="3"/>
        <v>68</v>
      </c>
      <c r="B143" s="31" t="s">
        <v>233</v>
      </c>
      <c r="C143" s="58" t="s">
        <v>234</v>
      </c>
      <c r="D143" s="70" t="s">
        <v>335</v>
      </c>
      <c r="E143" s="96">
        <v>4171</v>
      </c>
      <c r="F143" s="96">
        <v>4186</v>
      </c>
      <c r="G143" s="87">
        <v>15</v>
      </c>
      <c r="H143" s="110">
        <v>0</v>
      </c>
      <c r="I143" s="103">
        <v>13500</v>
      </c>
      <c r="J143" s="107">
        <v>13500</v>
      </c>
      <c r="K143" s="107">
        <v>13500</v>
      </c>
      <c r="L143" s="85" t="s">
        <v>358</v>
      </c>
      <c r="M143" s="110">
        <v>0</v>
      </c>
    </row>
    <row r="144" spans="1:13" x14ac:dyDescent="0.25">
      <c r="A144" s="1">
        <f t="shared" si="3"/>
        <v>69</v>
      </c>
      <c r="B144" s="31" t="s">
        <v>235</v>
      </c>
      <c r="C144" s="58" t="s">
        <v>236</v>
      </c>
      <c r="D144" s="70" t="s">
        <v>335</v>
      </c>
      <c r="E144" s="96">
        <v>1582</v>
      </c>
      <c r="F144" s="96">
        <v>1600</v>
      </c>
      <c r="G144" s="87">
        <v>18</v>
      </c>
      <c r="H144" s="110">
        <v>0</v>
      </c>
      <c r="I144" s="103">
        <v>16650</v>
      </c>
      <c r="J144" s="107">
        <v>16650</v>
      </c>
      <c r="K144" s="107">
        <v>16650</v>
      </c>
      <c r="L144" s="85" t="s">
        <v>430</v>
      </c>
      <c r="M144" s="110">
        <v>0</v>
      </c>
    </row>
    <row r="145" spans="1:13" x14ac:dyDescent="0.25">
      <c r="A145" s="1">
        <f t="shared" si="3"/>
        <v>70</v>
      </c>
      <c r="B145" s="31" t="s">
        <v>237</v>
      </c>
      <c r="C145" s="58" t="s">
        <v>238</v>
      </c>
      <c r="D145" s="70" t="s">
        <v>335</v>
      </c>
      <c r="E145" s="96">
        <v>3350</v>
      </c>
      <c r="F145" s="96">
        <v>3381</v>
      </c>
      <c r="G145" s="87">
        <v>31</v>
      </c>
      <c r="H145" s="110">
        <v>0</v>
      </c>
      <c r="I145" s="103">
        <v>30650</v>
      </c>
      <c r="J145" s="107">
        <v>30650</v>
      </c>
      <c r="K145" s="107"/>
      <c r="L145" s="85"/>
      <c r="M145" s="110">
        <v>30650</v>
      </c>
    </row>
    <row r="146" spans="1:13" x14ac:dyDescent="0.25">
      <c r="A146" s="1">
        <f t="shared" si="3"/>
        <v>71</v>
      </c>
      <c r="B146" s="31" t="s">
        <v>420</v>
      </c>
      <c r="C146" s="58" t="s">
        <v>240</v>
      </c>
      <c r="D146" s="70" t="s">
        <v>335</v>
      </c>
      <c r="E146" s="96">
        <v>3021</v>
      </c>
      <c r="F146" s="96">
        <v>3038</v>
      </c>
      <c r="G146" s="87">
        <v>17</v>
      </c>
      <c r="H146" s="110">
        <v>132600</v>
      </c>
      <c r="I146" s="103">
        <v>15600</v>
      </c>
      <c r="J146" s="107">
        <v>148200</v>
      </c>
      <c r="K146" s="91"/>
      <c r="L146" s="85"/>
      <c r="M146" s="110">
        <v>148200</v>
      </c>
    </row>
    <row r="147" spans="1:13" x14ac:dyDescent="0.25">
      <c r="A147" s="1">
        <f t="shared" si="3"/>
        <v>72</v>
      </c>
      <c r="B147" s="31" t="s">
        <v>241</v>
      </c>
      <c r="C147" s="58" t="s">
        <v>242</v>
      </c>
      <c r="D147" s="70" t="s">
        <v>335</v>
      </c>
      <c r="E147" s="96">
        <v>4250</v>
      </c>
      <c r="F147" s="96">
        <v>4290</v>
      </c>
      <c r="G147" s="87">
        <v>40</v>
      </c>
      <c r="H147" s="110">
        <v>0</v>
      </c>
      <c r="I147" s="103">
        <v>43250</v>
      </c>
      <c r="J147" s="107">
        <v>43250</v>
      </c>
      <c r="K147" s="91"/>
      <c r="L147" s="85"/>
      <c r="M147" s="110">
        <v>43250</v>
      </c>
    </row>
    <row r="148" spans="1:13" x14ac:dyDescent="0.25">
      <c r="A148" s="1">
        <f t="shared" si="3"/>
        <v>73</v>
      </c>
      <c r="B148" s="31" t="s">
        <v>243</v>
      </c>
      <c r="C148" s="58" t="s">
        <v>244</v>
      </c>
      <c r="D148" s="70" t="s">
        <v>335</v>
      </c>
      <c r="E148" s="96">
        <v>4135</v>
      </c>
      <c r="F148" s="96">
        <v>4162</v>
      </c>
      <c r="G148" s="87">
        <v>27</v>
      </c>
      <c r="H148" s="110">
        <v>0</v>
      </c>
      <c r="I148" s="103">
        <v>26100</v>
      </c>
      <c r="J148" s="107">
        <v>26100</v>
      </c>
      <c r="K148" s="107">
        <v>26100</v>
      </c>
      <c r="L148" s="84" t="s">
        <v>358</v>
      </c>
      <c r="M148" s="110">
        <v>0</v>
      </c>
    </row>
    <row r="149" spans="1:13" x14ac:dyDescent="0.25">
      <c r="A149" s="1">
        <f t="shared" si="3"/>
        <v>74</v>
      </c>
      <c r="B149" s="31" t="s">
        <v>245</v>
      </c>
      <c r="C149" s="58" t="s">
        <v>246</v>
      </c>
      <c r="D149" s="70" t="s">
        <v>335</v>
      </c>
      <c r="E149" s="96">
        <v>6770</v>
      </c>
      <c r="F149" s="96">
        <v>6799</v>
      </c>
      <c r="G149" s="87">
        <v>29</v>
      </c>
      <c r="H149" s="110">
        <v>0</v>
      </c>
      <c r="I149" s="103">
        <v>28200</v>
      </c>
      <c r="J149" s="107">
        <v>28200</v>
      </c>
      <c r="K149" s="107">
        <v>28200</v>
      </c>
      <c r="L149" s="84" t="s">
        <v>358</v>
      </c>
      <c r="M149" s="110">
        <v>0</v>
      </c>
    </row>
    <row r="150" spans="1:13" x14ac:dyDescent="0.25">
      <c r="A150" s="1">
        <f>A149+1</f>
        <v>75</v>
      </c>
      <c r="B150" s="31" t="s">
        <v>247</v>
      </c>
      <c r="C150" s="58" t="s">
        <v>248</v>
      </c>
      <c r="D150" s="70" t="s">
        <v>335</v>
      </c>
      <c r="E150" s="96">
        <v>176</v>
      </c>
      <c r="F150" s="96">
        <v>180</v>
      </c>
      <c r="G150" s="87">
        <v>4</v>
      </c>
      <c r="H150" s="110">
        <v>4400</v>
      </c>
      <c r="I150" s="103">
        <v>5800</v>
      </c>
      <c r="J150" s="107">
        <v>10200</v>
      </c>
      <c r="K150" s="91"/>
      <c r="L150" s="85"/>
      <c r="M150" s="110">
        <v>10200</v>
      </c>
    </row>
    <row r="151" spans="1:13" x14ac:dyDescent="0.25">
      <c r="A151" s="1">
        <f t="shared" si="3"/>
        <v>76</v>
      </c>
      <c r="B151" s="31" t="s">
        <v>249</v>
      </c>
      <c r="C151" s="58"/>
      <c r="D151" s="70" t="s">
        <v>335</v>
      </c>
      <c r="E151" s="96">
        <v>1855</v>
      </c>
      <c r="F151" s="96">
        <v>1883</v>
      </c>
      <c r="G151" s="87">
        <v>28</v>
      </c>
      <c r="H151" s="110">
        <v>44500</v>
      </c>
      <c r="I151" s="103">
        <v>27150</v>
      </c>
      <c r="J151" s="107">
        <v>71650</v>
      </c>
      <c r="K151" s="107">
        <v>71650</v>
      </c>
      <c r="L151" s="85" t="s">
        <v>358</v>
      </c>
      <c r="M151" s="110">
        <v>13340</v>
      </c>
    </row>
    <row r="152" spans="1:13" x14ac:dyDescent="0.25">
      <c r="A152" s="1">
        <f t="shared" si="3"/>
        <v>77</v>
      </c>
      <c r="B152" s="31" t="s">
        <v>353</v>
      </c>
      <c r="C152" s="58"/>
      <c r="D152" s="70" t="s">
        <v>335</v>
      </c>
      <c r="E152" s="96">
        <v>486</v>
      </c>
      <c r="F152" s="96">
        <v>489</v>
      </c>
      <c r="G152" s="87">
        <v>3</v>
      </c>
      <c r="H152" s="110">
        <v>8800</v>
      </c>
      <c r="I152" s="103">
        <v>5100</v>
      </c>
      <c r="J152" s="107">
        <v>13900</v>
      </c>
      <c r="K152" s="107">
        <v>13900</v>
      </c>
      <c r="L152" s="85" t="s">
        <v>358</v>
      </c>
      <c r="M152" s="110">
        <v>0</v>
      </c>
    </row>
    <row r="153" spans="1:13" x14ac:dyDescent="0.25">
      <c r="A153" s="1">
        <f t="shared" si="3"/>
        <v>78</v>
      </c>
      <c r="B153" s="31" t="s">
        <v>251</v>
      </c>
      <c r="C153" s="58"/>
      <c r="D153" s="70" t="s">
        <v>335</v>
      </c>
      <c r="E153" s="96">
        <v>743</v>
      </c>
      <c r="F153" s="96">
        <v>743</v>
      </c>
      <c r="G153" s="87">
        <v>0</v>
      </c>
      <c r="H153" s="110">
        <v>89100</v>
      </c>
      <c r="I153" s="103">
        <v>3000</v>
      </c>
      <c r="J153" s="107">
        <v>92100</v>
      </c>
      <c r="K153" s="91"/>
      <c r="L153" s="85"/>
      <c r="M153" s="110">
        <v>92100</v>
      </c>
    </row>
    <row r="154" spans="1:13" x14ac:dyDescent="0.25">
      <c r="A154" s="1">
        <f t="shared" si="3"/>
        <v>79</v>
      </c>
      <c r="B154" s="31" t="s">
        <v>252</v>
      </c>
      <c r="C154" s="58" t="s">
        <v>253</v>
      </c>
      <c r="D154" s="70" t="s">
        <v>335</v>
      </c>
      <c r="E154" s="96">
        <v>1993</v>
      </c>
      <c r="F154" s="96">
        <v>1993</v>
      </c>
      <c r="G154" s="87">
        <v>0</v>
      </c>
      <c r="H154" s="110">
        <v>9000</v>
      </c>
      <c r="I154" s="103">
        <v>3000</v>
      </c>
      <c r="J154" s="107">
        <v>12000</v>
      </c>
      <c r="K154" s="107">
        <v>12000</v>
      </c>
      <c r="L154" s="85" t="s">
        <v>358</v>
      </c>
      <c r="M154" s="110">
        <v>0</v>
      </c>
    </row>
    <row r="155" spans="1:13" x14ac:dyDescent="0.25">
      <c r="A155" s="1">
        <f t="shared" si="3"/>
        <v>80</v>
      </c>
      <c r="B155" s="31" t="s">
        <v>254</v>
      </c>
      <c r="C155" s="58" t="s">
        <v>255</v>
      </c>
      <c r="D155" s="70" t="s">
        <v>335</v>
      </c>
      <c r="E155" s="96">
        <v>2244</v>
      </c>
      <c r="F155" s="96">
        <v>2244</v>
      </c>
      <c r="G155" s="87">
        <v>0</v>
      </c>
      <c r="H155" s="110">
        <v>21000</v>
      </c>
      <c r="I155" s="103">
        <v>3000</v>
      </c>
      <c r="J155" s="107">
        <v>24000</v>
      </c>
      <c r="K155" s="91"/>
      <c r="L155" s="85"/>
      <c r="M155" s="110">
        <v>24000</v>
      </c>
    </row>
    <row r="156" spans="1:13" x14ac:dyDescent="0.25">
      <c r="A156" s="1">
        <f t="shared" si="3"/>
        <v>81</v>
      </c>
      <c r="B156" s="31" t="s">
        <v>4</v>
      </c>
      <c r="C156" s="58"/>
      <c r="D156" s="70" t="s">
        <v>335</v>
      </c>
      <c r="E156" s="96">
        <v>228</v>
      </c>
      <c r="F156" s="96">
        <v>228</v>
      </c>
      <c r="G156" s="87">
        <v>0</v>
      </c>
      <c r="H156" s="110">
        <v>0</v>
      </c>
      <c r="I156" s="103">
        <v>3000</v>
      </c>
      <c r="J156" s="107">
        <v>3000</v>
      </c>
      <c r="K156" s="107"/>
      <c r="L156" s="84"/>
      <c r="M156" s="110">
        <v>3000</v>
      </c>
    </row>
    <row r="157" spans="1:13" x14ac:dyDescent="0.25">
      <c r="A157" s="1">
        <f t="shared" si="3"/>
        <v>82</v>
      </c>
      <c r="B157" s="31" t="s">
        <v>256</v>
      </c>
      <c r="C157" s="58" t="s">
        <v>257</v>
      </c>
      <c r="D157" s="70" t="s">
        <v>335</v>
      </c>
      <c r="E157" s="96">
        <v>506</v>
      </c>
      <c r="F157" s="96">
        <v>506</v>
      </c>
      <c r="G157" s="87">
        <v>0</v>
      </c>
      <c r="H157" s="110">
        <v>22900</v>
      </c>
      <c r="I157" s="103">
        <v>3000</v>
      </c>
      <c r="J157" s="107">
        <v>25900</v>
      </c>
      <c r="K157" s="107">
        <v>25900</v>
      </c>
      <c r="L157" s="85" t="s">
        <v>399</v>
      </c>
      <c r="M157" s="110">
        <v>0</v>
      </c>
    </row>
    <row r="158" spans="1:13" x14ac:dyDescent="0.25">
      <c r="A158" s="1">
        <f t="shared" si="3"/>
        <v>83</v>
      </c>
      <c r="B158" s="31" t="s">
        <v>258</v>
      </c>
      <c r="C158" s="58" t="s">
        <v>259</v>
      </c>
      <c r="D158" s="70" t="s">
        <v>335</v>
      </c>
      <c r="E158" s="96">
        <v>605</v>
      </c>
      <c r="F158" s="96">
        <v>605</v>
      </c>
      <c r="G158" s="87">
        <v>0</v>
      </c>
      <c r="H158" s="110">
        <v>0</v>
      </c>
      <c r="I158" s="103">
        <v>3000</v>
      </c>
      <c r="J158" s="107">
        <v>3000</v>
      </c>
      <c r="K158" s="107"/>
      <c r="L158" s="85"/>
      <c r="M158" s="110">
        <v>3000</v>
      </c>
    </row>
    <row r="159" spans="1:13" x14ac:dyDescent="0.25">
      <c r="A159" s="1">
        <f t="shared" si="3"/>
        <v>84</v>
      </c>
      <c r="B159" s="31" t="s">
        <v>260</v>
      </c>
      <c r="C159" s="58" t="s">
        <v>261</v>
      </c>
      <c r="D159" s="70" t="s">
        <v>335</v>
      </c>
      <c r="E159" s="96">
        <v>302</v>
      </c>
      <c r="F159" s="96">
        <v>302</v>
      </c>
      <c r="G159" s="87">
        <v>0</v>
      </c>
      <c r="H159" s="110">
        <v>7400</v>
      </c>
      <c r="I159" s="103">
        <v>3000</v>
      </c>
      <c r="J159" s="107">
        <v>10400</v>
      </c>
      <c r="K159" s="107">
        <v>10400</v>
      </c>
      <c r="L159" s="85" t="s">
        <v>399</v>
      </c>
      <c r="M159" s="110">
        <v>0</v>
      </c>
    </row>
    <row r="160" spans="1:13" x14ac:dyDescent="0.25">
      <c r="A160" s="1">
        <f t="shared" si="3"/>
        <v>85</v>
      </c>
      <c r="B160" s="31" t="s">
        <v>262</v>
      </c>
      <c r="C160" s="58" t="s">
        <v>263</v>
      </c>
      <c r="D160" s="70" t="s">
        <v>335</v>
      </c>
      <c r="E160" s="96">
        <v>485</v>
      </c>
      <c r="F160" s="96">
        <v>485</v>
      </c>
      <c r="G160" s="87">
        <v>0</v>
      </c>
      <c r="H160" s="110">
        <v>0</v>
      </c>
      <c r="I160" s="103">
        <v>3000</v>
      </c>
      <c r="J160" s="107">
        <v>3000</v>
      </c>
      <c r="K160" s="107">
        <v>3000</v>
      </c>
      <c r="L160" s="84" t="s">
        <v>376</v>
      </c>
      <c r="M160" s="110">
        <v>0</v>
      </c>
    </row>
    <row r="161" spans="1:13" x14ac:dyDescent="0.25">
      <c r="A161" s="1">
        <f t="shared" si="3"/>
        <v>86</v>
      </c>
      <c r="B161" s="31" t="s">
        <v>264</v>
      </c>
      <c r="C161" s="58" t="s">
        <v>265</v>
      </c>
      <c r="D161" s="70" t="s">
        <v>335</v>
      </c>
      <c r="E161" s="96">
        <v>3547</v>
      </c>
      <c r="F161" s="96">
        <v>3556</v>
      </c>
      <c r="G161" s="87">
        <v>9</v>
      </c>
      <c r="H161" s="110">
        <v>60800</v>
      </c>
      <c r="I161" s="103">
        <v>9300</v>
      </c>
      <c r="J161" s="107">
        <v>70100</v>
      </c>
      <c r="K161" s="91"/>
      <c r="L161" s="85"/>
      <c r="M161" s="110">
        <v>70100</v>
      </c>
    </row>
    <row r="162" spans="1:13" x14ac:dyDescent="0.25">
      <c r="A162" s="1">
        <f t="shared" si="3"/>
        <v>87</v>
      </c>
      <c r="B162" s="31" t="s">
        <v>266</v>
      </c>
      <c r="C162" s="58" t="s">
        <v>267</v>
      </c>
      <c r="D162" s="70" t="s">
        <v>335</v>
      </c>
      <c r="E162" s="96">
        <v>2</v>
      </c>
      <c r="F162" s="96">
        <v>2</v>
      </c>
      <c r="G162" s="87">
        <v>0</v>
      </c>
      <c r="H162" s="110">
        <v>82200</v>
      </c>
      <c r="I162" s="103">
        <v>3000</v>
      </c>
      <c r="J162" s="107">
        <v>85200</v>
      </c>
      <c r="K162" s="91"/>
      <c r="L162" s="85"/>
      <c r="M162" s="110">
        <v>85200</v>
      </c>
    </row>
    <row r="163" spans="1:13" x14ac:dyDescent="0.25">
      <c r="A163" s="1">
        <f t="shared" si="3"/>
        <v>88</v>
      </c>
      <c r="B163" s="31" t="s">
        <v>268</v>
      </c>
      <c r="C163" s="58" t="s">
        <v>269</v>
      </c>
      <c r="D163" s="70" t="s">
        <v>335</v>
      </c>
      <c r="E163" s="96">
        <v>1485</v>
      </c>
      <c r="F163" s="96">
        <v>1508</v>
      </c>
      <c r="G163" s="87">
        <v>23</v>
      </c>
      <c r="H163" s="110">
        <v>0</v>
      </c>
      <c r="I163" s="103">
        <v>21900</v>
      </c>
      <c r="J163" s="107">
        <v>19800</v>
      </c>
      <c r="K163" s="107">
        <v>19800</v>
      </c>
      <c r="L163" s="84" t="s">
        <v>434</v>
      </c>
      <c r="M163" s="110">
        <v>0</v>
      </c>
    </row>
    <row r="164" spans="1:13" x14ac:dyDescent="0.25">
      <c r="A164" s="1">
        <f t="shared" si="3"/>
        <v>89</v>
      </c>
      <c r="B164" s="31" t="s">
        <v>271</v>
      </c>
      <c r="C164" s="58" t="s">
        <v>270</v>
      </c>
      <c r="D164" s="70" t="s">
        <v>335</v>
      </c>
      <c r="E164" s="96">
        <v>2601</v>
      </c>
      <c r="F164" s="96">
        <v>2602</v>
      </c>
      <c r="G164" s="87">
        <v>1</v>
      </c>
      <c r="H164" s="110">
        <v>0</v>
      </c>
      <c r="I164" s="103">
        <v>3700</v>
      </c>
      <c r="J164" s="107">
        <v>3700</v>
      </c>
      <c r="K164" s="91"/>
      <c r="L164" s="85"/>
      <c r="M164" s="110">
        <v>3700</v>
      </c>
    </row>
    <row r="165" spans="1:13" x14ac:dyDescent="0.25">
      <c r="A165" s="1">
        <f t="shared" si="3"/>
        <v>90</v>
      </c>
      <c r="B165" s="31" t="s">
        <v>374</v>
      </c>
      <c r="C165" s="58" t="s">
        <v>273</v>
      </c>
      <c r="D165" s="70" t="s">
        <v>335</v>
      </c>
      <c r="E165" s="96">
        <v>2970</v>
      </c>
      <c r="F165" s="96">
        <v>2991</v>
      </c>
      <c r="G165" s="87">
        <v>21</v>
      </c>
      <c r="H165" s="110">
        <v>0</v>
      </c>
      <c r="I165" s="103">
        <v>19800</v>
      </c>
      <c r="J165" s="107">
        <v>19800</v>
      </c>
      <c r="K165" s="107">
        <v>19800</v>
      </c>
      <c r="L165" s="85" t="s">
        <v>399</v>
      </c>
      <c r="M165" s="110">
        <v>0</v>
      </c>
    </row>
    <row r="166" spans="1:13" x14ac:dyDescent="0.25">
      <c r="A166" s="1">
        <f t="shared" si="3"/>
        <v>91</v>
      </c>
      <c r="B166" s="31" t="s">
        <v>274</v>
      </c>
      <c r="C166" s="58" t="s">
        <v>275</v>
      </c>
      <c r="D166" s="70" t="s">
        <v>335</v>
      </c>
      <c r="E166" s="96">
        <v>8325</v>
      </c>
      <c r="F166" s="96">
        <v>8340</v>
      </c>
      <c r="G166" s="87">
        <v>15</v>
      </c>
      <c r="H166" s="110">
        <v>500</v>
      </c>
      <c r="I166" s="103">
        <v>13500</v>
      </c>
      <c r="J166" s="107">
        <v>14000</v>
      </c>
      <c r="K166" s="91"/>
      <c r="L166" s="85"/>
      <c r="M166" s="110">
        <v>14000</v>
      </c>
    </row>
    <row r="167" spans="1:13" x14ac:dyDescent="0.25">
      <c r="A167" s="1">
        <f t="shared" si="3"/>
        <v>92</v>
      </c>
      <c r="B167" s="31" t="s">
        <v>276</v>
      </c>
      <c r="C167" s="58" t="s">
        <v>277</v>
      </c>
      <c r="D167" s="70" t="s">
        <v>335</v>
      </c>
      <c r="E167" s="96">
        <v>2973</v>
      </c>
      <c r="F167" s="96">
        <v>2973</v>
      </c>
      <c r="G167" s="87">
        <v>0</v>
      </c>
      <c r="H167" s="110">
        <v>29000</v>
      </c>
      <c r="I167" s="103">
        <v>3000</v>
      </c>
      <c r="J167" s="107">
        <v>32000</v>
      </c>
      <c r="K167" s="91"/>
      <c r="L167" s="85"/>
      <c r="M167" s="110">
        <v>32000</v>
      </c>
    </row>
    <row r="168" spans="1:13" x14ac:dyDescent="0.25">
      <c r="A168" s="1">
        <f t="shared" si="3"/>
        <v>93</v>
      </c>
      <c r="B168" s="31" t="s">
        <v>278</v>
      </c>
      <c r="C168" s="58" t="s">
        <v>279</v>
      </c>
      <c r="D168" s="70" t="s">
        <v>335</v>
      </c>
      <c r="E168" s="96">
        <v>1020</v>
      </c>
      <c r="F168" s="96">
        <v>1020</v>
      </c>
      <c r="G168" s="87">
        <v>0</v>
      </c>
      <c r="H168" s="110">
        <v>0</v>
      </c>
      <c r="I168" s="103">
        <v>3000</v>
      </c>
      <c r="J168" s="107">
        <v>3000</v>
      </c>
      <c r="K168" s="91"/>
      <c r="L168" s="85"/>
      <c r="M168" s="110">
        <v>3000</v>
      </c>
    </row>
    <row r="169" spans="1:13" x14ac:dyDescent="0.25">
      <c r="A169" s="1">
        <f t="shared" si="3"/>
        <v>94</v>
      </c>
      <c r="B169" s="31" t="s">
        <v>354</v>
      </c>
      <c r="C169" s="58" t="s">
        <v>281</v>
      </c>
      <c r="D169" s="70" t="s">
        <v>335</v>
      </c>
      <c r="E169" s="96">
        <v>730</v>
      </c>
      <c r="F169" s="96">
        <v>742</v>
      </c>
      <c r="G169" s="87">
        <v>12</v>
      </c>
      <c r="H169" s="110">
        <v>22500</v>
      </c>
      <c r="I169" s="103">
        <v>11400</v>
      </c>
      <c r="J169" s="107">
        <v>33900</v>
      </c>
      <c r="K169" s="107">
        <v>33900</v>
      </c>
      <c r="L169" s="84" t="s">
        <v>358</v>
      </c>
      <c r="M169" s="110">
        <v>0</v>
      </c>
    </row>
    <row r="170" spans="1:13" x14ac:dyDescent="0.25">
      <c r="A170" s="1">
        <f t="shared" si="3"/>
        <v>95</v>
      </c>
      <c r="B170" s="31" t="s">
        <v>282</v>
      </c>
      <c r="C170" s="58" t="s">
        <v>283</v>
      </c>
      <c r="D170" s="70" t="s">
        <v>335</v>
      </c>
      <c r="E170" s="96">
        <v>1655</v>
      </c>
      <c r="F170" s="96">
        <v>1660</v>
      </c>
      <c r="G170" s="87">
        <v>5</v>
      </c>
      <c r="H170" s="110">
        <v>18100</v>
      </c>
      <c r="I170" s="103">
        <v>6500</v>
      </c>
      <c r="J170" s="107">
        <v>24600</v>
      </c>
      <c r="K170" s="107">
        <v>24600</v>
      </c>
      <c r="L170" s="85" t="s">
        <v>424</v>
      </c>
      <c r="M170" s="110">
        <v>0</v>
      </c>
    </row>
    <row r="171" spans="1:13" x14ac:dyDescent="0.25">
      <c r="A171" s="1">
        <f t="shared" si="3"/>
        <v>96</v>
      </c>
      <c r="B171" s="31" t="s">
        <v>284</v>
      </c>
      <c r="C171" s="58" t="s">
        <v>285</v>
      </c>
      <c r="D171" s="70" t="s">
        <v>335</v>
      </c>
      <c r="E171" s="96">
        <v>2243</v>
      </c>
      <c r="F171" s="96">
        <v>2268</v>
      </c>
      <c r="G171" s="87">
        <v>25</v>
      </c>
      <c r="H171" s="110">
        <v>0</v>
      </c>
      <c r="I171" s="103">
        <v>24000</v>
      </c>
      <c r="J171" s="107">
        <v>24000</v>
      </c>
      <c r="K171" s="91"/>
      <c r="L171" s="85"/>
      <c r="M171" s="110">
        <v>24000</v>
      </c>
    </row>
    <row r="172" spans="1:13" x14ac:dyDescent="0.25">
      <c r="A172" s="1">
        <f t="shared" si="3"/>
        <v>97</v>
      </c>
      <c r="B172" s="31" t="s">
        <v>286</v>
      </c>
      <c r="C172" s="58" t="s">
        <v>287</v>
      </c>
      <c r="D172" s="70" t="s">
        <v>335</v>
      </c>
      <c r="E172" s="96">
        <v>1152</v>
      </c>
      <c r="F172" s="96">
        <v>1152</v>
      </c>
      <c r="G172" s="87">
        <v>0</v>
      </c>
      <c r="H172" s="110">
        <v>11400</v>
      </c>
      <c r="I172" s="103">
        <v>3000</v>
      </c>
      <c r="J172" s="107">
        <v>14400</v>
      </c>
      <c r="K172" s="91"/>
      <c r="L172" s="85"/>
      <c r="M172" s="110">
        <v>14400</v>
      </c>
    </row>
    <row r="173" spans="1:13" x14ac:dyDescent="0.25">
      <c r="A173" s="1">
        <f t="shared" si="3"/>
        <v>98</v>
      </c>
      <c r="B173" s="31" t="s">
        <v>288</v>
      </c>
      <c r="C173" s="58" t="s">
        <v>289</v>
      </c>
      <c r="D173" s="70" t="s">
        <v>335</v>
      </c>
      <c r="E173" s="96">
        <v>1320</v>
      </c>
      <c r="F173" s="96">
        <v>1333</v>
      </c>
      <c r="G173" s="87">
        <v>13</v>
      </c>
      <c r="H173" s="110">
        <v>0</v>
      </c>
      <c r="I173" s="103">
        <v>12100</v>
      </c>
      <c r="J173" s="107">
        <v>12100</v>
      </c>
      <c r="K173" s="107">
        <v>12100</v>
      </c>
      <c r="L173" s="85" t="s">
        <v>358</v>
      </c>
      <c r="M173" s="110">
        <v>0</v>
      </c>
    </row>
    <row r="174" spans="1:13" x14ac:dyDescent="0.25">
      <c r="A174" s="1">
        <f t="shared" si="3"/>
        <v>99</v>
      </c>
      <c r="B174" s="31" t="s">
        <v>290</v>
      </c>
      <c r="C174" s="58" t="s">
        <v>291</v>
      </c>
      <c r="D174" s="70" t="s">
        <v>335</v>
      </c>
      <c r="E174" s="96">
        <v>1140</v>
      </c>
      <c r="F174" s="96">
        <v>1145</v>
      </c>
      <c r="G174" s="87">
        <v>5</v>
      </c>
      <c r="H174" s="110">
        <v>31800</v>
      </c>
      <c r="I174" s="103">
        <v>6500</v>
      </c>
      <c r="J174" s="107">
        <v>38300</v>
      </c>
      <c r="K174" s="107">
        <v>38300</v>
      </c>
      <c r="L174" s="85" t="s">
        <v>358</v>
      </c>
      <c r="M174" s="110">
        <v>0</v>
      </c>
    </row>
    <row r="175" spans="1:13" x14ac:dyDescent="0.25">
      <c r="A175" s="1">
        <f t="shared" si="3"/>
        <v>100</v>
      </c>
      <c r="B175" s="31" t="s">
        <v>292</v>
      </c>
      <c r="C175" s="58" t="s">
        <v>293</v>
      </c>
      <c r="D175" s="70" t="s">
        <v>335</v>
      </c>
      <c r="E175" s="96">
        <v>1760</v>
      </c>
      <c r="F175" s="96">
        <v>1771</v>
      </c>
      <c r="G175" s="87">
        <v>11</v>
      </c>
      <c r="H175" s="110">
        <v>0</v>
      </c>
      <c r="I175" s="103">
        <v>10700</v>
      </c>
      <c r="J175" s="107">
        <v>10700</v>
      </c>
      <c r="K175" s="107"/>
      <c r="L175" s="84"/>
      <c r="M175" s="110">
        <v>10700</v>
      </c>
    </row>
    <row r="176" spans="1:13" x14ac:dyDescent="0.25">
      <c r="A176" s="1">
        <f t="shared" si="3"/>
        <v>101</v>
      </c>
      <c r="B176" s="31" t="s">
        <v>294</v>
      </c>
      <c r="C176" s="58" t="s">
        <v>295</v>
      </c>
      <c r="D176" s="70" t="s">
        <v>335</v>
      </c>
      <c r="E176" s="96">
        <v>946</v>
      </c>
      <c r="F176" s="96">
        <v>955</v>
      </c>
      <c r="G176" s="87">
        <v>9</v>
      </c>
      <c r="H176" s="110">
        <v>0</v>
      </c>
      <c r="I176" s="103">
        <v>9300</v>
      </c>
      <c r="J176" s="107">
        <v>9300</v>
      </c>
      <c r="K176" s="107">
        <v>9300</v>
      </c>
      <c r="L176" s="85" t="s">
        <v>399</v>
      </c>
      <c r="M176" s="110">
        <v>0</v>
      </c>
    </row>
    <row r="177" spans="1:13" x14ac:dyDescent="0.25">
      <c r="A177" s="1">
        <f t="shared" si="3"/>
        <v>102</v>
      </c>
      <c r="B177" s="31" t="s">
        <v>296</v>
      </c>
      <c r="C177" s="58" t="s">
        <v>297</v>
      </c>
      <c r="D177" s="70" t="s">
        <v>335</v>
      </c>
      <c r="E177" s="96">
        <v>807</v>
      </c>
      <c r="F177" s="96">
        <v>815</v>
      </c>
      <c r="G177" s="87">
        <v>8</v>
      </c>
      <c r="H177" s="110">
        <v>0</v>
      </c>
      <c r="I177" s="103">
        <v>8600</v>
      </c>
      <c r="J177" s="107">
        <v>8600</v>
      </c>
      <c r="K177" s="107">
        <v>8600</v>
      </c>
      <c r="L177" s="85" t="s">
        <v>358</v>
      </c>
      <c r="M177" s="110">
        <v>26670</v>
      </c>
    </row>
    <row r="178" spans="1:13" x14ac:dyDescent="0.25">
      <c r="A178" s="1">
        <f t="shared" si="3"/>
        <v>103</v>
      </c>
      <c r="B178" s="31" t="s">
        <v>366</v>
      </c>
      <c r="C178" s="58" t="s">
        <v>299</v>
      </c>
      <c r="D178" s="70" t="s">
        <v>335</v>
      </c>
      <c r="E178" s="96">
        <v>2751</v>
      </c>
      <c r="F178" s="96">
        <v>2762</v>
      </c>
      <c r="G178" s="87">
        <v>11</v>
      </c>
      <c r="H178" s="110">
        <v>0</v>
      </c>
      <c r="I178" s="103">
        <v>10700</v>
      </c>
      <c r="J178" s="107">
        <v>10700</v>
      </c>
      <c r="K178" s="163" t="s">
        <v>422</v>
      </c>
      <c r="L178" s="85" t="s">
        <v>358</v>
      </c>
      <c r="M178" s="110">
        <v>26670</v>
      </c>
    </row>
    <row r="179" spans="1:13" x14ac:dyDescent="0.25">
      <c r="A179" s="1">
        <f t="shared" si="3"/>
        <v>104</v>
      </c>
      <c r="B179" s="31" t="s">
        <v>300</v>
      </c>
      <c r="C179" s="58" t="s">
        <v>301</v>
      </c>
      <c r="D179" s="70" t="s">
        <v>335</v>
      </c>
      <c r="E179" s="96">
        <v>4987</v>
      </c>
      <c r="F179" s="96">
        <v>4990</v>
      </c>
      <c r="G179" s="87">
        <v>3</v>
      </c>
      <c r="H179" s="110">
        <v>13900</v>
      </c>
      <c r="I179" s="103">
        <v>5100</v>
      </c>
      <c r="J179" s="107">
        <v>19000</v>
      </c>
      <c r="K179" s="91"/>
      <c r="L179" s="85"/>
      <c r="M179" s="110">
        <v>19000</v>
      </c>
    </row>
    <row r="180" spans="1:13" x14ac:dyDescent="0.25">
      <c r="A180" s="1">
        <f t="shared" si="3"/>
        <v>105</v>
      </c>
      <c r="B180" s="31" t="s">
        <v>302</v>
      </c>
      <c r="C180" s="58" t="s">
        <v>303</v>
      </c>
      <c r="D180" s="70" t="s">
        <v>335</v>
      </c>
      <c r="E180" s="96">
        <v>611</v>
      </c>
      <c r="F180" s="96">
        <v>621</v>
      </c>
      <c r="G180" s="87">
        <v>10</v>
      </c>
      <c r="H180" s="110">
        <v>0</v>
      </c>
      <c r="I180" s="103">
        <v>10000</v>
      </c>
      <c r="J180" s="107">
        <v>10000</v>
      </c>
      <c r="K180" s="107">
        <v>10000</v>
      </c>
      <c r="L180" s="84" t="s">
        <v>358</v>
      </c>
      <c r="M180" s="110">
        <v>0</v>
      </c>
    </row>
    <row r="181" spans="1:13" x14ac:dyDescent="0.25">
      <c r="A181" s="1">
        <f t="shared" si="3"/>
        <v>106</v>
      </c>
      <c r="B181" s="31" t="s">
        <v>304</v>
      </c>
      <c r="C181" s="58" t="s">
        <v>305</v>
      </c>
      <c r="D181" s="70" t="s">
        <v>335</v>
      </c>
      <c r="E181" s="96">
        <v>3452</v>
      </c>
      <c r="F181" s="96">
        <v>3468</v>
      </c>
      <c r="G181" s="87">
        <v>16</v>
      </c>
      <c r="H181" s="110">
        <v>0</v>
      </c>
      <c r="I181" s="103">
        <v>14550</v>
      </c>
      <c r="J181" s="103">
        <v>14550</v>
      </c>
      <c r="K181" s="107">
        <v>14550</v>
      </c>
      <c r="L181" s="84" t="s">
        <v>358</v>
      </c>
      <c r="M181" s="110">
        <v>0</v>
      </c>
    </row>
    <row r="182" spans="1:13" x14ac:dyDescent="0.25">
      <c r="A182" s="1">
        <f t="shared" si="3"/>
        <v>107</v>
      </c>
      <c r="B182" s="31" t="s">
        <v>306</v>
      </c>
      <c r="C182" s="58" t="s">
        <v>307</v>
      </c>
      <c r="D182" s="70" t="s">
        <v>335</v>
      </c>
      <c r="E182" s="96">
        <v>2931</v>
      </c>
      <c r="F182" s="96">
        <v>2940</v>
      </c>
      <c r="G182" s="87">
        <v>9</v>
      </c>
      <c r="H182" s="110">
        <v>0</v>
      </c>
      <c r="I182" s="103">
        <v>9300</v>
      </c>
      <c r="J182" s="107">
        <v>16890</v>
      </c>
      <c r="K182" s="107">
        <v>16890</v>
      </c>
      <c r="L182" s="84" t="s">
        <v>358</v>
      </c>
      <c r="M182" s="110">
        <v>7590</v>
      </c>
    </row>
    <row r="183" spans="1:13" x14ac:dyDescent="0.25">
      <c r="A183" s="1">
        <f t="shared" si="3"/>
        <v>108</v>
      </c>
      <c r="B183" s="31" t="s">
        <v>308</v>
      </c>
      <c r="C183" s="58" t="s">
        <v>309</v>
      </c>
      <c r="D183" s="70" t="s">
        <v>335</v>
      </c>
      <c r="E183" s="96">
        <v>51</v>
      </c>
      <c r="F183" s="96">
        <v>51</v>
      </c>
      <c r="G183" s="87">
        <v>0</v>
      </c>
      <c r="H183" s="110">
        <v>3000</v>
      </c>
      <c r="I183" s="103">
        <v>3000</v>
      </c>
      <c r="J183" s="107">
        <v>6000</v>
      </c>
      <c r="K183" s="107">
        <v>6000</v>
      </c>
      <c r="L183" s="85" t="s">
        <v>358</v>
      </c>
      <c r="M183" s="110">
        <v>0</v>
      </c>
    </row>
    <row r="184" spans="1:13" x14ac:dyDescent="0.25">
      <c r="A184" s="1">
        <f t="shared" si="3"/>
        <v>109</v>
      </c>
      <c r="B184" s="31" t="s">
        <v>310</v>
      </c>
      <c r="C184" s="58" t="s">
        <v>311</v>
      </c>
      <c r="D184" s="70" t="s">
        <v>334</v>
      </c>
      <c r="E184" s="96">
        <v>2266</v>
      </c>
      <c r="F184" s="96">
        <v>2266</v>
      </c>
      <c r="G184" s="87">
        <v>0</v>
      </c>
      <c r="H184" s="110">
        <v>0</v>
      </c>
      <c r="I184" s="103">
        <v>3000</v>
      </c>
      <c r="J184" s="107">
        <v>3000</v>
      </c>
      <c r="K184" s="107">
        <v>3000</v>
      </c>
      <c r="L184" s="85" t="s">
        <v>358</v>
      </c>
      <c r="M184" s="110">
        <v>0</v>
      </c>
    </row>
    <row r="185" spans="1:13" x14ac:dyDescent="0.25">
      <c r="A185" s="1">
        <f t="shared" si="3"/>
        <v>110</v>
      </c>
      <c r="B185" s="31" t="s">
        <v>312</v>
      </c>
      <c r="C185" s="58" t="s">
        <v>313</v>
      </c>
      <c r="D185" s="70" t="s">
        <v>335</v>
      </c>
      <c r="E185" s="96">
        <v>2476</v>
      </c>
      <c r="F185" s="96">
        <v>2503</v>
      </c>
      <c r="G185" s="87">
        <v>27</v>
      </c>
      <c r="H185" s="110">
        <v>28200</v>
      </c>
      <c r="I185" s="103">
        <v>26100</v>
      </c>
      <c r="J185" s="107">
        <v>54300</v>
      </c>
      <c r="K185" s="107">
        <v>54300</v>
      </c>
      <c r="L185" s="85" t="s">
        <v>358</v>
      </c>
      <c r="M185" s="110">
        <v>0</v>
      </c>
    </row>
    <row r="186" spans="1:13" x14ac:dyDescent="0.25">
      <c r="A186" s="1">
        <f t="shared" si="3"/>
        <v>111</v>
      </c>
      <c r="B186" s="31" t="s">
        <v>314</v>
      </c>
      <c r="C186" s="58" t="s">
        <v>315</v>
      </c>
      <c r="D186" s="70" t="s">
        <v>335</v>
      </c>
      <c r="E186" s="96">
        <v>1315</v>
      </c>
      <c r="F186" s="96">
        <v>1315</v>
      </c>
      <c r="G186" s="87">
        <v>0</v>
      </c>
      <c r="H186" s="110">
        <v>0</v>
      </c>
      <c r="I186" s="103">
        <v>3000</v>
      </c>
      <c r="J186" s="107">
        <v>3000</v>
      </c>
      <c r="K186" s="107"/>
      <c r="L186" s="84"/>
      <c r="M186" s="110">
        <v>3000</v>
      </c>
    </row>
    <row r="187" spans="1:13" x14ac:dyDescent="0.25">
      <c r="A187" s="1">
        <f t="shared" si="3"/>
        <v>112</v>
      </c>
      <c r="B187" s="31" t="s">
        <v>316</v>
      </c>
      <c r="C187" s="58" t="s">
        <v>317</v>
      </c>
      <c r="D187" s="70" t="s">
        <v>335</v>
      </c>
      <c r="E187" s="96">
        <v>4042</v>
      </c>
      <c r="F187" s="96">
        <v>4043</v>
      </c>
      <c r="G187" s="87">
        <v>1</v>
      </c>
      <c r="H187" s="110">
        <v>0</v>
      </c>
      <c r="I187" s="103">
        <v>3700</v>
      </c>
      <c r="J187" s="107">
        <v>3700</v>
      </c>
      <c r="K187" s="107"/>
      <c r="L187" s="84"/>
      <c r="M187" s="110">
        <v>3700</v>
      </c>
    </row>
    <row r="188" spans="1:13" x14ac:dyDescent="0.25">
      <c r="A188" s="1">
        <f t="shared" si="3"/>
        <v>113</v>
      </c>
      <c r="B188" s="31" t="s">
        <v>318</v>
      </c>
      <c r="C188" s="58" t="s">
        <v>319</v>
      </c>
      <c r="D188" s="70" t="s">
        <v>335</v>
      </c>
      <c r="E188" s="96">
        <v>1054</v>
      </c>
      <c r="F188" s="96">
        <v>1054</v>
      </c>
      <c r="G188" s="87">
        <v>0</v>
      </c>
      <c r="H188" s="110">
        <v>76200</v>
      </c>
      <c r="I188" s="103">
        <v>3000</v>
      </c>
      <c r="J188" s="107">
        <v>79200</v>
      </c>
      <c r="K188" s="107">
        <v>79200</v>
      </c>
      <c r="L188" s="85" t="s">
        <v>358</v>
      </c>
      <c r="M188" s="110">
        <v>0</v>
      </c>
    </row>
    <row r="189" spans="1:13" x14ac:dyDescent="0.25">
      <c r="A189" s="1">
        <f t="shared" si="3"/>
        <v>114</v>
      </c>
      <c r="B189" s="31" t="s">
        <v>320</v>
      </c>
      <c r="C189" s="58" t="s">
        <v>321</v>
      </c>
      <c r="D189" s="70" t="s">
        <v>335</v>
      </c>
      <c r="E189" s="96">
        <v>1251</v>
      </c>
      <c r="F189" s="96">
        <v>1257</v>
      </c>
      <c r="G189" s="87">
        <v>6</v>
      </c>
      <c r="H189" s="110">
        <v>0</v>
      </c>
      <c r="I189" s="103">
        <v>7200</v>
      </c>
      <c r="J189" s="107">
        <v>400</v>
      </c>
      <c r="K189" s="91"/>
      <c r="L189" s="85"/>
      <c r="M189" s="110">
        <v>400</v>
      </c>
    </row>
    <row r="190" spans="1:13" x14ac:dyDescent="0.25">
      <c r="A190" s="1">
        <f t="shared" si="3"/>
        <v>115</v>
      </c>
      <c r="B190" s="31" t="s">
        <v>362</v>
      </c>
      <c r="C190" s="58" t="s">
        <v>323</v>
      </c>
      <c r="D190" s="70" t="s">
        <v>335</v>
      </c>
      <c r="E190" s="96">
        <v>2807</v>
      </c>
      <c r="F190" s="96">
        <v>2824</v>
      </c>
      <c r="G190" s="87">
        <v>17</v>
      </c>
      <c r="H190" s="110">
        <v>87200</v>
      </c>
      <c r="I190" s="103">
        <v>15600</v>
      </c>
      <c r="J190" s="107">
        <v>102800</v>
      </c>
      <c r="K190" s="107">
        <v>50000</v>
      </c>
      <c r="L190" s="85" t="s">
        <v>358</v>
      </c>
      <c r="M190" s="110">
        <v>52800</v>
      </c>
    </row>
    <row r="191" spans="1:13" x14ac:dyDescent="0.25">
      <c r="A191" s="1">
        <f t="shared" si="3"/>
        <v>116</v>
      </c>
      <c r="B191" s="31" t="s">
        <v>324</v>
      </c>
      <c r="C191" s="58" t="s">
        <v>325</v>
      </c>
      <c r="D191" s="70" t="s">
        <v>335</v>
      </c>
      <c r="E191" s="96">
        <v>408</v>
      </c>
      <c r="F191" s="96">
        <v>416</v>
      </c>
      <c r="G191" s="87">
        <v>8</v>
      </c>
      <c r="H191" s="110">
        <v>0</v>
      </c>
      <c r="I191" s="103">
        <v>8600</v>
      </c>
      <c r="J191" s="107">
        <v>8600</v>
      </c>
      <c r="K191" s="107"/>
      <c r="L191" s="85"/>
      <c r="M191" s="110">
        <v>8600</v>
      </c>
    </row>
    <row r="192" spans="1:13" x14ac:dyDescent="0.25">
      <c r="A192" s="1">
        <f t="shared" si="3"/>
        <v>117</v>
      </c>
      <c r="B192" s="31" t="s">
        <v>326</v>
      </c>
      <c r="C192" s="58" t="s">
        <v>327</v>
      </c>
      <c r="D192" s="70" t="s">
        <v>335</v>
      </c>
      <c r="E192" s="96">
        <v>2940</v>
      </c>
      <c r="F192" s="96">
        <v>2944</v>
      </c>
      <c r="G192" s="87">
        <v>4</v>
      </c>
      <c r="H192" s="110">
        <v>0</v>
      </c>
      <c r="I192" s="103">
        <v>5800</v>
      </c>
      <c r="J192" s="107">
        <v>5800</v>
      </c>
      <c r="K192" s="107">
        <v>5800</v>
      </c>
      <c r="L192" s="84" t="s">
        <v>399</v>
      </c>
      <c r="M192" s="110">
        <v>0</v>
      </c>
    </row>
    <row r="193" spans="1:13" x14ac:dyDescent="0.25">
      <c r="A193" s="1">
        <f t="shared" si="3"/>
        <v>118</v>
      </c>
      <c r="B193" s="31" t="s">
        <v>328</v>
      </c>
      <c r="C193" s="58" t="s">
        <v>329</v>
      </c>
      <c r="D193" s="70" t="s">
        <v>335</v>
      </c>
      <c r="E193" s="96">
        <v>1936</v>
      </c>
      <c r="F193" s="96">
        <v>1947</v>
      </c>
      <c r="G193" s="87">
        <v>11</v>
      </c>
      <c r="H193" s="110">
        <v>0</v>
      </c>
      <c r="I193" s="103">
        <v>10700</v>
      </c>
      <c r="J193" s="103">
        <v>10700</v>
      </c>
      <c r="K193" s="107"/>
      <c r="L193" s="84"/>
      <c r="M193" s="110">
        <v>10700</v>
      </c>
    </row>
    <row r="194" spans="1:13" x14ac:dyDescent="0.25">
      <c r="A194" s="1">
        <f t="shared" si="3"/>
        <v>119</v>
      </c>
      <c r="B194" s="31" t="s">
        <v>363</v>
      </c>
      <c r="C194" s="58" t="s">
        <v>331</v>
      </c>
      <c r="D194" s="70" t="s">
        <v>335</v>
      </c>
      <c r="E194" s="96">
        <v>1071</v>
      </c>
      <c r="F194" s="96">
        <v>1076</v>
      </c>
      <c r="G194" s="87">
        <v>5</v>
      </c>
      <c r="H194" s="110">
        <v>0</v>
      </c>
      <c r="I194" s="103">
        <v>6500</v>
      </c>
      <c r="J194" s="107">
        <v>6500</v>
      </c>
      <c r="K194" s="107">
        <v>6500</v>
      </c>
      <c r="L194" s="84" t="s">
        <v>399</v>
      </c>
      <c r="M194" s="110">
        <v>0</v>
      </c>
    </row>
    <row r="195" spans="1:13" x14ac:dyDescent="0.25">
      <c r="A195" s="1">
        <f t="shared" si="3"/>
        <v>120</v>
      </c>
      <c r="B195" s="31" t="s">
        <v>332</v>
      </c>
      <c r="C195" s="58" t="s">
        <v>333</v>
      </c>
      <c r="D195" s="70" t="s">
        <v>335</v>
      </c>
      <c r="E195" s="96">
        <v>876</v>
      </c>
      <c r="F195" s="96">
        <v>892</v>
      </c>
      <c r="G195" s="87">
        <v>16</v>
      </c>
      <c r="H195" s="110">
        <v>0</v>
      </c>
      <c r="I195" s="103">
        <v>14550</v>
      </c>
      <c r="J195" s="107">
        <v>14550</v>
      </c>
      <c r="K195" s="107"/>
      <c r="L195" s="85"/>
      <c r="M195" s="110">
        <v>14550</v>
      </c>
    </row>
    <row r="196" spans="1:13" x14ac:dyDescent="0.25">
      <c r="A196" s="147"/>
      <c r="B196" s="138"/>
      <c r="C196" s="139"/>
      <c r="D196" s="140"/>
      <c r="E196" s="140"/>
      <c r="F196" s="141"/>
      <c r="G196" s="141"/>
      <c r="H196" s="148"/>
      <c r="I196" s="149"/>
      <c r="J196" s="148"/>
      <c r="K196" s="148"/>
      <c r="L196" s="150"/>
      <c r="M196" s="148"/>
    </row>
    <row r="197" spans="1:13" x14ac:dyDescent="0.25">
      <c r="A197" s="146"/>
      <c r="B197" s="138"/>
      <c r="C197" s="139"/>
      <c r="D197" s="140"/>
      <c r="E197" s="140"/>
      <c r="F197" s="141"/>
      <c r="G197" s="141"/>
      <c r="H197" s="142"/>
      <c r="I197" s="143"/>
      <c r="J197" s="143"/>
    </row>
    <row r="198" spans="1:13" x14ac:dyDescent="0.25">
      <c r="A198" s="146"/>
      <c r="B198" s="138"/>
      <c r="C198" s="139"/>
      <c r="D198" s="144"/>
      <c r="E198" s="144"/>
      <c r="F198" s="141"/>
      <c r="G198" s="141"/>
      <c r="H198" s="142"/>
      <c r="I198" s="143"/>
      <c r="J198" s="143"/>
    </row>
    <row r="199" spans="1:13" x14ac:dyDescent="0.25">
      <c r="A199" s="146"/>
      <c r="B199" s="138"/>
      <c r="C199" s="139"/>
      <c r="D199" s="144"/>
      <c r="E199" s="144"/>
      <c r="F199" s="141"/>
      <c r="G199" s="141"/>
      <c r="H199" s="142"/>
      <c r="I199" s="143"/>
      <c r="J199" s="143"/>
    </row>
    <row r="200" spans="1:13" x14ac:dyDescent="0.25">
      <c r="A200" s="146"/>
      <c r="B200" s="138"/>
      <c r="C200" s="139"/>
      <c r="D200" s="144"/>
      <c r="E200" s="144"/>
      <c r="F200" s="141"/>
      <c r="G200" s="141"/>
      <c r="H200" s="142"/>
      <c r="I200" s="143"/>
      <c r="J200" s="143"/>
    </row>
    <row r="201" spans="1:13" x14ac:dyDescent="0.25">
      <c r="A201" s="146"/>
      <c r="B201" s="138"/>
      <c r="C201" s="139"/>
      <c r="D201" s="145"/>
      <c r="E201" s="145"/>
      <c r="F201" s="143"/>
      <c r="G201" s="143"/>
      <c r="H201" s="142"/>
      <c r="I201" s="143"/>
      <c r="J201" s="143"/>
    </row>
    <row r="202" spans="1:13" x14ac:dyDescent="0.25">
      <c r="A202" s="146"/>
      <c r="B202" s="138"/>
      <c r="C202" s="139"/>
      <c r="D202" s="145"/>
      <c r="E202" s="145"/>
      <c r="F202" s="143"/>
      <c r="G202" s="143"/>
      <c r="H202" s="142"/>
      <c r="I202" s="143"/>
      <c r="J202" s="143"/>
    </row>
    <row r="203" spans="1:13" x14ac:dyDescent="0.25">
      <c r="A203" s="146"/>
      <c r="B203" s="138"/>
      <c r="C203" s="139"/>
      <c r="D203" s="145"/>
      <c r="E203" s="145"/>
      <c r="F203" s="143"/>
      <c r="G203" s="143"/>
      <c r="H203" s="142"/>
      <c r="I203" s="143"/>
      <c r="J203" s="143"/>
    </row>
    <row r="204" spans="1:13" x14ac:dyDescent="0.25">
      <c r="A204" s="146"/>
      <c r="B204" s="138"/>
      <c r="C204" s="139"/>
      <c r="D204" s="145"/>
      <c r="E204" s="145"/>
      <c r="F204" s="143"/>
      <c r="G204" s="143"/>
      <c r="H204" s="142"/>
      <c r="I204" s="143"/>
      <c r="J204" s="143"/>
    </row>
    <row r="205" spans="1:13" x14ac:dyDescent="0.25">
      <c r="A205" s="146"/>
      <c r="B205" s="138"/>
      <c r="C205" s="139"/>
      <c r="D205" s="145"/>
      <c r="E205" s="145"/>
      <c r="F205" s="143"/>
      <c r="G205" s="143"/>
      <c r="H205" s="142"/>
      <c r="I205" s="143"/>
      <c r="J205" s="143"/>
    </row>
    <row r="206" spans="1:13" x14ac:dyDescent="0.25">
      <c r="B206" s="143"/>
      <c r="C206" s="143"/>
      <c r="D206" s="143"/>
      <c r="E206" s="143"/>
      <c r="F206" s="143"/>
      <c r="G206" s="143"/>
      <c r="H206" s="143"/>
      <c r="I206" s="143"/>
      <c r="J206" s="143"/>
    </row>
    <row r="207" spans="1:13" x14ac:dyDescent="0.25">
      <c r="B207" s="143"/>
      <c r="C207" s="143"/>
      <c r="D207" s="143"/>
      <c r="E207" s="143"/>
      <c r="F207" s="143"/>
      <c r="G207" s="143"/>
      <c r="H207" s="143"/>
      <c r="I207" s="143"/>
      <c r="J207" s="143"/>
    </row>
  </sheetData>
  <mergeCells count="1">
    <mergeCell ref="A1:C1"/>
  </mergeCells>
  <pageMargins left="0.7" right="0.7" top="0.75" bottom="0.75" header="0.3" footer="0.3"/>
  <pageSetup paperSize="9" orientation="portrait" horizontalDpi="0" verticalDpi="0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207"/>
  <sheetViews>
    <sheetView topLeftCell="A123" zoomScale="95" zoomScaleNormal="95" workbookViewId="0">
      <selection activeCell="K145" sqref="K145"/>
    </sheetView>
  </sheetViews>
  <sheetFormatPr baseColWidth="10" defaultRowHeight="15" x14ac:dyDescent="0.25"/>
  <cols>
    <col min="1" max="1" width="4.5703125" style="215" customWidth="1"/>
    <col min="2" max="2" width="44.85546875" customWidth="1"/>
    <col min="4" max="4" width="13.85546875" customWidth="1"/>
    <col min="7" max="7" width="6.7109375" customWidth="1"/>
    <col min="12" max="12" width="13.7109375" customWidth="1"/>
    <col min="13" max="13" width="14.42578125" style="269" customWidth="1"/>
  </cols>
  <sheetData>
    <row r="1" spans="1:13" x14ac:dyDescent="0.25">
      <c r="A1" s="378" t="s">
        <v>8</v>
      </c>
      <c r="B1" s="378"/>
      <c r="C1" s="378"/>
      <c r="D1" s="132"/>
      <c r="E1" s="131"/>
      <c r="F1" s="151" t="s">
        <v>425</v>
      </c>
      <c r="G1" s="131"/>
      <c r="H1" s="131"/>
      <c r="I1" s="131"/>
      <c r="J1" s="133"/>
    </row>
    <row r="2" spans="1:13" x14ac:dyDescent="0.25">
      <c r="A2" s="91" t="s">
        <v>3</v>
      </c>
      <c r="B2" s="128" t="s">
        <v>0</v>
      </c>
      <c r="C2" s="128" t="s">
        <v>1</v>
      </c>
      <c r="D2" s="129" t="s">
        <v>2</v>
      </c>
      <c r="E2" s="129" t="s">
        <v>336</v>
      </c>
      <c r="F2" s="129" t="s">
        <v>337</v>
      </c>
      <c r="G2" s="128" t="s">
        <v>10</v>
      </c>
      <c r="H2" s="129" t="s">
        <v>356</v>
      </c>
      <c r="I2" s="129" t="s">
        <v>357</v>
      </c>
      <c r="J2" s="128" t="s">
        <v>11</v>
      </c>
      <c r="K2" s="129" t="s">
        <v>12</v>
      </c>
      <c r="L2" s="129" t="s">
        <v>355</v>
      </c>
      <c r="M2" s="308" t="s">
        <v>13</v>
      </c>
    </row>
    <row r="3" spans="1:13" x14ac:dyDescent="0.25">
      <c r="A3" s="159">
        <v>1</v>
      </c>
      <c r="B3" s="160" t="s">
        <v>14</v>
      </c>
      <c r="C3" s="161" t="s">
        <v>100</v>
      </c>
      <c r="D3" s="154" t="s">
        <v>5</v>
      </c>
      <c r="E3" s="155">
        <v>1585</v>
      </c>
      <c r="F3" s="160">
        <v>1592</v>
      </c>
      <c r="G3" s="156">
        <v>7</v>
      </c>
      <c r="H3" s="157">
        <v>3600</v>
      </c>
      <c r="I3" s="164">
        <v>3950</v>
      </c>
      <c r="J3" s="176">
        <v>7550</v>
      </c>
      <c r="K3" s="160">
        <v>7550</v>
      </c>
      <c r="L3" s="160" t="s">
        <v>435</v>
      </c>
      <c r="M3" s="311">
        <v>0</v>
      </c>
    </row>
    <row r="4" spans="1:13" x14ac:dyDescent="0.25">
      <c r="A4" s="85">
        <f>A3+1</f>
        <v>2</v>
      </c>
      <c r="B4" s="1" t="s">
        <v>15</v>
      </c>
      <c r="C4" s="4"/>
      <c r="D4" s="70" t="s">
        <v>5</v>
      </c>
      <c r="E4" s="96">
        <v>1</v>
      </c>
      <c r="F4" s="96">
        <v>1</v>
      </c>
      <c r="G4" s="87">
        <v>0</v>
      </c>
      <c r="H4" s="110">
        <v>3000</v>
      </c>
      <c r="I4" s="177">
        <v>3000</v>
      </c>
      <c r="J4" s="178">
        <v>6000</v>
      </c>
      <c r="K4" s="177">
        <v>6000</v>
      </c>
      <c r="L4" s="1" t="s">
        <v>434</v>
      </c>
      <c r="M4" s="276">
        <v>0</v>
      </c>
    </row>
    <row r="5" spans="1:13" x14ac:dyDescent="0.25">
      <c r="A5" s="159">
        <f t="shared" ref="A5:A50" si="0">A4+1</f>
        <v>3</v>
      </c>
      <c r="B5" s="160" t="s">
        <v>16</v>
      </c>
      <c r="C5" s="161" t="s">
        <v>101</v>
      </c>
      <c r="D5" s="154" t="s">
        <v>5</v>
      </c>
      <c r="E5" s="155">
        <v>2246</v>
      </c>
      <c r="F5" s="155">
        <v>2267</v>
      </c>
      <c r="G5" s="156">
        <v>21</v>
      </c>
      <c r="H5" s="157">
        <v>0</v>
      </c>
      <c r="I5" s="164">
        <v>13050</v>
      </c>
      <c r="J5" s="176">
        <v>13050</v>
      </c>
      <c r="K5" s="164">
        <v>13050</v>
      </c>
      <c r="L5" s="160" t="s">
        <v>424</v>
      </c>
      <c r="M5" s="271">
        <v>0</v>
      </c>
    </row>
    <row r="6" spans="1:13" x14ac:dyDescent="0.25">
      <c r="A6" s="85">
        <f t="shared" si="0"/>
        <v>4</v>
      </c>
      <c r="B6" s="1" t="s">
        <v>17</v>
      </c>
      <c r="C6" s="4" t="s">
        <v>373</v>
      </c>
      <c r="D6" s="70" t="s">
        <v>5</v>
      </c>
      <c r="E6" s="96">
        <v>2642</v>
      </c>
      <c r="F6" s="96">
        <v>2657</v>
      </c>
      <c r="G6" s="87">
        <v>15</v>
      </c>
      <c r="H6" s="110">
        <v>0</v>
      </c>
      <c r="I6" s="177">
        <v>13500</v>
      </c>
      <c r="J6" s="178">
        <v>13500</v>
      </c>
      <c r="K6" s="177">
        <v>13500</v>
      </c>
      <c r="L6" s="1" t="s">
        <v>434</v>
      </c>
      <c r="M6" s="276">
        <v>0</v>
      </c>
    </row>
    <row r="7" spans="1:13" x14ac:dyDescent="0.25">
      <c r="A7" s="85">
        <f t="shared" si="0"/>
        <v>5</v>
      </c>
      <c r="B7" s="1" t="s">
        <v>18</v>
      </c>
      <c r="C7" s="4" t="s">
        <v>377</v>
      </c>
      <c r="D7" s="70" t="s">
        <v>5</v>
      </c>
      <c r="E7" s="96">
        <v>2033</v>
      </c>
      <c r="F7" s="96">
        <v>2047</v>
      </c>
      <c r="G7" s="87">
        <v>14</v>
      </c>
      <c r="H7" s="110">
        <v>0</v>
      </c>
      <c r="I7" s="177">
        <v>12800</v>
      </c>
      <c r="J7" s="178">
        <v>12800</v>
      </c>
      <c r="K7" s="177">
        <v>12800</v>
      </c>
      <c r="L7" s="1" t="s">
        <v>434</v>
      </c>
      <c r="M7" s="276">
        <v>0</v>
      </c>
    </row>
    <row r="8" spans="1:13" x14ac:dyDescent="0.25">
      <c r="A8" s="85">
        <f t="shared" si="0"/>
        <v>6</v>
      </c>
      <c r="B8" s="1" t="s">
        <v>19</v>
      </c>
      <c r="C8" s="4"/>
      <c r="D8" s="70" t="s">
        <v>5</v>
      </c>
      <c r="E8" s="96">
        <v>368</v>
      </c>
      <c r="F8" s="96">
        <v>368</v>
      </c>
      <c r="G8" s="87">
        <v>0</v>
      </c>
      <c r="H8" s="110">
        <v>10000</v>
      </c>
      <c r="I8" s="177">
        <v>3000</v>
      </c>
      <c r="J8" s="178">
        <v>13000</v>
      </c>
      <c r="K8" s="177">
        <v>13000</v>
      </c>
      <c r="L8" s="1" t="s">
        <v>434</v>
      </c>
      <c r="M8" s="276">
        <v>0</v>
      </c>
    </row>
    <row r="9" spans="1:13" x14ac:dyDescent="0.25">
      <c r="A9" s="85">
        <f t="shared" si="0"/>
        <v>7</v>
      </c>
      <c r="B9" s="1" t="s">
        <v>20</v>
      </c>
      <c r="C9" s="4" t="s">
        <v>427</v>
      </c>
      <c r="D9" s="70" t="s">
        <v>5</v>
      </c>
      <c r="E9" s="96">
        <v>5712</v>
      </c>
      <c r="F9" s="96">
        <v>5743</v>
      </c>
      <c r="G9" s="87">
        <v>31</v>
      </c>
      <c r="H9" s="110">
        <v>0</v>
      </c>
      <c r="I9" s="177">
        <v>30650</v>
      </c>
      <c r="J9" s="178">
        <v>30650</v>
      </c>
      <c r="K9" s="177">
        <v>30650</v>
      </c>
      <c r="L9" s="1" t="s">
        <v>434</v>
      </c>
      <c r="M9" s="276">
        <v>0</v>
      </c>
    </row>
    <row r="10" spans="1:13" x14ac:dyDescent="0.25">
      <c r="A10" s="85">
        <f t="shared" si="0"/>
        <v>8</v>
      </c>
      <c r="B10" s="1" t="s">
        <v>21</v>
      </c>
      <c r="C10" s="4" t="s">
        <v>378</v>
      </c>
      <c r="D10" s="70" t="s">
        <v>5</v>
      </c>
      <c r="E10" s="96">
        <v>1730</v>
      </c>
      <c r="F10" s="96">
        <v>1744</v>
      </c>
      <c r="G10" s="87">
        <v>14</v>
      </c>
      <c r="H10" s="110">
        <v>0</v>
      </c>
      <c r="I10" s="177">
        <v>12800</v>
      </c>
      <c r="J10" s="177">
        <v>12800</v>
      </c>
      <c r="K10" s="165"/>
      <c r="L10" s="1"/>
      <c r="M10" s="276">
        <v>12800</v>
      </c>
    </row>
    <row r="11" spans="1:13" x14ac:dyDescent="0.25">
      <c r="A11" s="85">
        <f t="shared" si="0"/>
        <v>9</v>
      </c>
      <c r="B11" s="1" t="s">
        <v>22</v>
      </c>
      <c r="C11" s="4" t="s">
        <v>379</v>
      </c>
      <c r="D11" s="70" t="s">
        <v>5</v>
      </c>
      <c r="E11" s="96">
        <v>455</v>
      </c>
      <c r="F11" s="96">
        <v>462</v>
      </c>
      <c r="G11" s="87">
        <v>7</v>
      </c>
      <c r="H11" s="110">
        <v>8600</v>
      </c>
      <c r="I11" s="177">
        <v>7900</v>
      </c>
      <c r="J11" s="178">
        <v>16500</v>
      </c>
      <c r="K11" s="177">
        <v>16500</v>
      </c>
      <c r="L11" s="1" t="s">
        <v>434</v>
      </c>
      <c r="M11" s="276">
        <v>0</v>
      </c>
    </row>
    <row r="12" spans="1:13" x14ac:dyDescent="0.25">
      <c r="A12" s="85">
        <f t="shared" si="0"/>
        <v>10</v>
      </c>
      <c r="B12" s="1" t="s">
        <v>380</v>
      </c>
      <c r="C12" s="4" t="s">
        <v>386</v>
      </c>
      <c r="D12" s="70" t="s">
        <v>5</v>
      </c>
      <c r="E12" s="96">
        <v>9447</v>
      </c>
      <c r="F12" s="96">
        <v>9549</v>
      </c>
      <c r="G12" s="87">
        <v>102</v>
      </c>
      <c r="H12" s="110" t="s">
        <v>426</v>
      </c>
      <c r="I12" s="177">
        <v>130050</v>
      </c>
      <c r="J12" s="178">
        <v>130050</v>
      </c>
      <c r="K12" s="177">
        <v>130050</v>
      </c>
      <c r="L12" s="1" t="s">
        <v>434</v>
      </c>
      <c r="M12" s="276">
        <v>0</v>
      </c>
    </row>
    <row r="13" spans="1:13" x14ac:dyDescent="0.25">
      <c r="A13" s="85">
        <f t="shared" si="0"/>
        <v>11</v>
      </c>
      <c r="B13" s="1" t="s">
        <v>24</v>
      </c>
      <c r="C13" s="4" t="s">
        <v>382</v>
      </c>
      <c r="D13" s="70" t="s">
        <v>5</v>
      </c>
      <c r="E13" s="96">
        <v>3299</v>
      </c>
      <c r="F13" s="96">
        <v>3307</v>
      </c>
      <c r="G13" s="87">
        <v>8</v>
      </c>
      <c r="H13" s="110">
        <v>0</v>
      </c>
      <c r="I13" s="177">
        <v>8600</v>
      </c>
      <c r="J13" s="178">
        <v>8600</v>
      </c>
      <c r="K13" s="177">
        <v>8600</v>
      </c>
      <c r="L13" s="1" t="s">
        <v>434</v>
      </c>
      <c r="M13" s="276">
        <v>0</v>
      </c>
    </row>
    <row r="14" spans="1:13" x14ac:dyDescent="0.25">
      <c r="A14" s="85">
        <f t="shared" si="0"/>
        <v>12</v>
      </c>
      <c r="B14" s="1" t="s">
        <v>25</v>
      </c>
      <c r="C14" s="4" t="s">
        <v>383</v>
      </c>
      <c r="D14" s="70" t="s">
        <v>5</v>
      </c>
      <c r="E14" s="96">
        <v>1049</v>
      </c>
      <c r="F14" s="96">
        <v>1059</v>
      </c>
      <c r="G14" s="87">
        <v>10</v>
      </c>
      <c r="H14" s="110">
        <v>0</v>
      </c>
      <c r="I14" s="177">
        <v>10000</v>
      </c>
      <c r="J14" s="178">
        <v>10000</v>
      </c>
      <c r="K14" s="165"/>
      <c r="L14" s="1"/>
      <c r="M14" s="276">
        <v>10000</v>
      </c>
    </row>
    <row r="15" spans="1:13" x14ac:dyDescent="0.25">
      <c r="A15" s="85">
        <f t="shared" si="0"/>
        <v>13</v>
      </c>
      <c r="B15" s="1" t="s">
        <v>26</v>
      </c>
      <c r="C15" s="4" t="s">
        <v>384</v>
      </c>
      <c r="D15" s="70" t="s">
        <v>5</v>
      </c>
      <c r="E15" s="96">
        <v>2328</v>
      </c>
      <c r="F15" s="96">
        <v>2332</v>
      </c>
      <c r="G15" s="87">
        <v>4</v>
      </c>
      <c r="H15" s="110">
        <v>5800</v>
      </c>
      <c r="I15" s="177">
        <v>5800</v>
      </c>
      <c r="J15" s="178">
        <v>11600</v>
      </c>
      <c r="K15" s="177">
        <v>11600</v>
      </c>
      <c r="L15" s="1" t="s">
        <v>424</v>
      </c>
      <c r="M15" s="276">
        <v>0</v>
      </c>
    </row>
    <row r="16" spans="1:13" x14ac:dyDescent="0.25">
      <c r="A16" s="85">
        <f t="shared" si="0"/>
        <v>14</v>
      </c>
      <c r="B16" s="1" t="s">
        <v>381</v>
      </c>
      <c r="C16" s="4" t="s">
        <v>386</v>
      </c>
      <c r="D16" s="70" t="s">
        <v>5</v>
      </c>
      <c r="E16" s="96">
        <v>2030</v>
      </c>
      <c r="F16" s="96">
        <v>2045</v>
      </c>
      <c r="G16" s="87">
        <v>15</v>
      </c>
      <c r="H16" s="110" t="s">
        <v>426</v>
      </c>
      <c r="I16" s="177">
        <v>13500</v>
      </c>
      <c r="J16" s="178">
        <v>13500</v>
      </c>
      <c r="K16" s="177">
        <v>13500</v>
      </c>
      <c r="L16" s="1" t="s">
        <v>434</v>
      </c>
      <c r="M16" s="276">
        <v>0</v>
      </c>
    </row>
    <row r="17" spans="1:13" x14ac:dyDescent="0.25">
      <c r="A17" s="85">
        <f t="shared" si="0"/>
        <v>15</v>
      </c>
      <c r="B17" s="31" t="s">
        <v>367</v>
      </c>
      <c r="C17" s="4" t="s">
        <v>385</v>
      </c>
      <c r="D17" s="70" t="s">
        <v>5</v>
      </c>
      <c r="E17" s="96">
        <v>2252</v>
      </c>
      <c r="F17" s="96">
        <v>2252</v>
      </c>
      <c r="G17" s="87">
        <v>0</v>
      </c>
      <c r="H17" s="110">
        <v>0</v>
      </c>
      <c r="I17" s="177">
        <v>3000</v>
      </c>
      <c r="J17" s="178">
        <v>3000</v>
      </c>
      <c r="K17" s="165"/>
      <c r="L17" s="1"/>
      <c r="M17" s="276">
        <v>3000</v>
      </c>
    </row>
    <row r="18" spans="1:13" x14ac:dyDescent="0.25">
      <c r="A18" s="85">
        <f t="shared" si="0"/>
        <v>16</v>
      </c>
      <c r="B18" s="1" t="s">
        <v>29</v>
      </c>
      <c r="C18" s="4" t="s">
        <v>387</v>
      </c>
      <c r="D18" s="70" t="s">
        <v>7</v>
      </c>
      <c r="E18" s="96">
        <v>1098</v>
      </c>
      <c r="F18" s="96">
        <v>1099</v>
      </c>
      <c r="G18" s="87">
        <v>1</v>
      </c>
      <c r="H18" s="110">
        <v>0</v>
      </c>
      <c r="I18" s="177">
        <v>3700</v>
      </c>
      <c r="J18" s="178">
        <v>3700</v>
      </c>
      <c r="K18" s="177">
        <v>3700</v>
      </c>
      <c r="L18" s="1" t="s">
        <v>434</v>
      </c>
      <c r="M18" s="276">
        <v>0</v>
      </c>
    </row>
    <row r="19" spans="1:13" x14ac:dyDescent="0.25">
      <c r="A19" s="85">
        <f t="shared" si="0"/>
        <v>17</v>
      </c>
      <c r="B19" s="1" t="s">
        <v>30</v>
      </c>
      <c r="C19" s="4" t="s">
        <v>388</v>
      </c>
      <c r="D19" s="70" t="s">
        <v>5</v>
      </c>
      <c r="E19" s="96">
        <v>864</v>
      </c>
      <c r="F19" s="96">
        <v>864</v>
      </c>
      <c r="G19" s="87">
        <v>0</v>
      </c>
      <c r="H19" s="110">
        <v>3000</v>
      </c>
      <c r="I19" s="177">
        <v>3000</v>
      </c>
      <c r="J19" s="178">
        <v>6000</v>
      </c>
      <c r="K19" s="165"/>
      <c r="L19" s="1"/>
      <c r="M19" s="276">
        <v>6000</v>
      </c>
    </row>
    <row r="20" spans="1:13" x14ac:dyDescent="0.25">
      <c r="A20" s="85">
        <f t="shared" si="0"/>
        <v>18</v>
      </c>
      <c r="B20" s="1" t="s">
        <v>338</v>
      </c>
      <c r="C20" s="4" t="s">
        <v>339</v>
      </c>
      <c r="D20" s="70" t="s">
        <v>5</v>
      </c>
      <c r="E20" s="96">
        <v>1448</v>
      </c>
      <c r="F20" s="96">
        <v>1467</v>
      </c>
      <c r="G20" s="87">
        <v>19</v>
      </c>
      <c r="H20" s="110">
        <v>0</v>
      </c>
      <c r="I20" s="177">
        <v>17700</v>
      </c>
      <c r="J20" s="178">
        <v>17700</v>
      </c>
      <c r="K20" s="165"/>
      <c r="L20" s="1"/>
      <c r="M20" s="276">
        <v>17700</v>
      </c>
    </row>
    <row r="21" spans="1:13" x14ac:dyDescent="0.25">
      <c r="A21" s="85">
        <f t="shared" si="0"/>
        <v>19</v>
      </c>
      <c r="B21" s="1" t="s">
        <v>32</v>
      </c>
      <c r="C21" s="4" t="s">
        <v>389</v>
      </c>
      <c r="D21" s="70" t="s">
        <v>5</v>
      </c>
      <c r="E21" s="96">
        <v>3</v>
      </c>
      <c r="F21" s="96">
        <v>3</v>
      </c>
      <c r="G21" s="87">
        <v>0</v>
      </c>
      <c r="H21" s="110">
        <v>8000</v>
      </c>
      <c r="I21" s="177">
        <v>3000</v>
      </c>
      <c r="J21" s="178">
        <v>11000</v>
      </c>
      <c r="K21" s="165"/>
      <c r="L21" s="1"/>
      <c r="M21" s="276">
        <v>11000</v>
      </c>
    </row>
    <row r="22" spans="1:13" x14ac:dyDescent="0.25">
      <c r="A22" s="85">
        <f t="shared" si="0"/>
        <v>20</v>
      </c>
      <c r="B22" s="1" t="s">
        <v>33</v>
      </c>
      <c r="C22" s="4" t="s">
        <v>390</v>
      </c>
      <c r="D22" s="70" t="s">
        <v>5</v>
      </c>
      <c r="E22" s="96">
        <v>2112</v>
      </c>
      <c r="F22" s="96">
        <v>2132</v>
      </c>
      <c r="G22" s="87">
        <v>20</v>
      </c>
      <c r="H22" s="110">
        <v>0</v>
      </c>
      <c r="I22" s="177">
        <v>18750</v>
      </c>
      <c r="J22" s="178">
        <v>18750</v>
      </c>
      <c r="K22" s="177">
        <v>18750</v>
      </c>
      <c r="L22" s="1" t="s">
        <v>434</v>
      </c>
      <c r="M22" s="276">
        <v>0</v>
      </c>
    </row>
    <row r="23" spans="1:13" x14ac:dyDescent="0.25">
      <c r="A23" s="85">
        <f t="shared" si="0"/>
        <v>21</v>
      </c>
      <c r="B23" s="1" t="s">
        <v>372</v>
      </c>
      <c r="C23" s="4" t="s">
        <v>391</v>
      </c>
      <c r="D23" s="70" t="s">
        <v>5</v>
      </c>
      <c r="E23" s="96">
        <v>3180</v>
      </c>
      <c r="F23" s="96">
        <v>3187</v>
      </c>
      <c r="G23" s="87">
        <v>7</v>
      </c>
      <c r="H23" s="110">
        <v>0</v>
      </c>
      <c r="I23" s="177">
        <v>7900</v>
      </c>
      <c r="J23" s="178">
        <v>15490</v>
      </c>
      <c r="K23" s="177">
        <v>15490</v>
      </c>
      <c r="L23" s="1" t="s">
        <v>434</v>
      </c>
      <c r="M23" s="276">
        <v>7590</v>
      </c>
    </row>
    <row r="24" spans="1:13" x14ac:dyDescent="0.25">
      <c r="A24" s="85">
        <f t="shared" si="0"/>
        <v>22</v>
      </c>
      <c r="B24" s="1" t="s">
        <v>35</v>
      </c>
      <c r="C24" s="4" t="s">
        <v>340</v>
      </c>
      <c r="D24" s="70" t="s">
        <v>5</v>
      </c>
      <c r="E24" s="96">
        <v>88</v>
      </c>
      <c r="F24" s="96">
        <v>88</v>
      </c>
      <c r="G24" s="87">
        <v>0</v>
      </c>
      <c r="H24" s="110">
        <v>7000</v>
      </c>
      <c r="I24" s="177">
        <v>3000</v>
      </c>
      <c r="J24" s="178">
        <v>10000</v>
      </c>
      <c r="K24" s="177">
        <v>10000</v>
      </c>
      <c r="L24" s="1" t="s">
        <v>434</v>
      </c>
      <c r="M24" s="276">
        <v>0</v>
      </c>
    </row>
    <row r="25" spans="1:13" x14ac:dyDescent="0.25">
      <c r="A25" s="159">
        <f t="shared" si="0"/>
        <v>23</v>
      </c>
      <c r="B25" s="160" t="s">
        <v>36</v>
      </c>
      <c r="C25" s="161" t="s">
        <v>341</v>
      </c>
      <c r="D25" s="154" t="s">
        <v>5</v>
      </c>
      <c r="E25" s="155">
        <v>1770</v>
      </c>
      <c r="F25" s="160">
        <v>1790</v>
      </c>
      <c r="G25" s="156">
        <v>20</v>
      </c>
      <c r="H25" s="157">
        <v>0</v>
      </c>
      <c r="I25" s="164">
        <v>12000</v>
      </c>
      <c r="J25" s="176">
        <v>12000</v>
      </c>
      <c r="K25" s="164">
        <v>12000</v>
      </c>
      <c r="L25" s="160" t="s">
        <v>434</v>
      </c>
      <c r="M25" s="271">
        <v>7580</v>
      </c>
    </row>
    <row r="26" spans="1:13" x14ac:dyDescent="0.25">
      <c r="A26" s="85">
        <f t="shared" si="0"/>
        <v>24</v>
      </c>
      <c r="B26" s="1" t="s">
        <v>37</v>
      </c>
      <c r="C26" s="4" t="s">
        <v>342</v>
      </c>
      <c r="D26" s="70" t="s">
        <v>5</v>
      </c>
      <c r="E26" s="96">
        <v>586</v>
      </c>
      <c r="F26" s="96">
        <v>586</v>
      </c>
      <c r="G26" s="87">
        <v>0</v>
      </c>
      <c r="H26" s="110">
        <v>2500</v>
      </c>
      <c r="I26" s="177">
        <v>3000</v>
      </c>
      <c r="J26" s="178">
        <v>5500</v>
      </c>
      <c r="K26" s="177">
        <v>5500</v>
      </c>
      <c r="L26" s="1" t="s">
        <v>424</v>
      </c>
      <c r="M26" s="276">
        <v>0</v>
      </c>
    </row>
    <row r="27" spans="1:13" x14ac:dyDescent="0.25">
      <c r="A27" s="85">
        <f t="shared" si="0"/>
        <v>25</v>
      </c>
      <c r="B27" s="1" t="s">
        <v>38</v>
      </c>
      <c r="C27" s="4" t="s">
        <v>343</v>
      </c>
      <c r="D27" s="70" t="s">
        <v>5</v>
      </c>
      <c r="E27" s="96">
        <v>797</v>
      </c>
      <c r="F27" s="96">
        <v>806</v>
      </c>
      <c r="G27" s="87">
        <v>9</v>
      </c>
      <c r="H27" s="110">
        <v>10690</v>
      </c>
      <c r="I27" s="177">
        <v>9300</v>
      </c>
      <c r="J27" s="178">
        <v>19990</v>
      </c>
      <c r="K27" s="177">
        <v>20000</v>
      </c>
      <c r="L27" s="1" t="s">
        <v>434</v>
      </c>
      <c r="M27" s="276">
        <v>10680</v>
      </c>
    </row>
    <row r="28" spans="1:13" x14ac:dyDescent="0.25">
      <c r="A28" s="85">
        <f t="shared" si="0"/>
        <v>26</v>
      </c>
      <c r="B28" s="1" t="s">
        <v>39</v>
      </c>
      <c r="C28" s="4" t="s">
        <v>344</v>
      </c>
      <c r="D28" s="70" t="s">
        <v>5</v>
      </c>
      <c r="E28" s="96">
        <v>1923</v>
      </c>
      <c r="F28" s="96">
        <v>1923</v>
      </c>
      <c r="G28" s="87">
        <v>0</v>
      </c>
      <c r="H28" s="110">
        <v>12300</v>
      </c>
      <c r="I28" s="177">
        <v>3000</v>
      </c>
      <c r="J28" s="178">
        <v>15300</v>
      </c>
      <c r="K28" s="165"/>
      <c r="L28" s="1"/>
      <c r="M28" s="276">
        <v>15300</v>
      </c>
    </row>
    <row r="29" spans="1:13" x14ac:dyDescent="0.25">
      <c r="A29" s="85">
        <f t="shared" si="0"/>
        <v>27</v>
      </c>
      <c r="B29" s="1" t="s">
        <v>40</v>
      </c>
      <c r="C29" s="4" t="s">
        <v>345</v>
      </c>
      <c r="D29" s="70" t="s">
        <v>5</v>
      </c>
      <c r="E29" s="96">
        <v>3147</v>
      </c>
      <c r="F29" s="96">
        <v>3151</v>
      </c>
      <c r="G29" s="87">
        <v>4</v>
      </c>
      <c r="H29" s="110">
        <v>100000</v>
      </c>
      <c r="I29" s="177">
        <v>5800</v>
      </c>
      <c r="J29" s="178">
        <v>105800</v>
      </c>
      <c r="K29" s="165"/>
      <c r="L29" s="1"/>
      <c r="M29" s="276">
        <v>105800</v>
      </c>
    </row>
    <row r="30" spans="1:13" x14ac:dyDescent="0.25">
      <c r="A30" s="85">
        <f t="shared" si="0"/>
        <v>28</v>
      </c>
      <c r="B30" s="1" t="s">
        <v>41</v>
      </c>
      <c r="C30" s="4"/>
      <c r="D30" s="70" t="s">
        <v>5</v>
      </c>
      <c r="E30" s="96">
        <v>2424</v>
      </c>
      <c r="F30" s="96">
        <v>2450</v>
      </c>
      <c r="G30" s="87">
        <v>26</v>
      </c>
      <c r="H30" s="110">
        <v>0</v>
      </c>
      <c r="I30" s="177">
        <v>25050</v>
      </c>
      <c r="J30" s="178">
        <v>25050</v>
      </c>
      <c r="K30" s="165"/>
      <c r="L30" s="1"/>
      <c r="M30" s="276">
        <v>25050</v>
      </c>
    </row>
    <row r="31" spans="1:13" x14ac:dyDescent="0.25">
      <c r="A31" s="85">
        <f t="shared" si="0"/>
        <v>29</v>
      </c>
      <c r="B31" s="1" t="s">
        <v>42</v>
      </c>
      <c r="C31" s="4" t="s">
        <v>346</v>
      </c>
      <c r="D31" s="70" t="s">
        <v>5</v>
      </c>
      <c r="E31" s="96">
        <v>3895</v>
      </c>
      <c r="F31" s="96">
        <v>3911</v>
      </c>
      <c r="G31" s="87">
        <v>16</v>
      </c>
      <c r="H31" s="110">
        <v>0</v>
      </c>
      <c r="I31" s="177">
        <v>14550</v>
      </c>
      <c r="J31" s="178">
        <v>14550</v>
      </c>
      <c r="K31" s="177">
        <v>14550</v>
      </c>
      <c r="L31" s="1" t="s">
        <v>424</v>
      </c>
      <c r="M31" s="276">
        <v>0</v>
      </c>
    </row>
    <row r="32" spans="1:13" x14ac:dyDescent="0.25">
      <c r="A32" s="85">
        <f t="shared" si="0"/>
        <v>30</v>
      </c>
      <c r="B32" s="1" t="s">
        <v>43</v>
      </c>
      <c r="C32" s="4" t="s">
        <v>347</v>
      </c>
      <c r="D32" s="70" t="s">
        <v>5</v>
      </c>
      <c r="E32" s="96">
        <v>2951</v>
      </c>
      <c r="F32" s="96">
        <v>2998</v>
      </c>
      <c r="G32" s="87">
        <v>47</v>
      </c>
      <c r="H32" s="110">
        <v>0</v>
      </c>
      <c r="I32" s="177">
        <v>53050</v>
      </c>
      <c r="J32" s="178">
        <v>53050</v>
      </c>
      <c r="K32" s="177">
        <v>53050</v>
      </c>
      <c r="L32" s="1" t="s">
        <v>434</v>
      </c>
      <c r="M32" s="276">
        <v>16000</v>
      </c>
    </row>
    <row r="33" spans="1:13" x14ac:dyDescent="0.25">
      <c r="A33" s="85">
        <f t="shared" si="0"/>
        <v>31</v>
      </c>
      <c r="B33" s="1" t="s">
        <v>44</v>
      </c>
      <c r="C33" s="4" t="s">
        <v>348</v>
      </c>
      <c r="D33" s="70" t="s">
        <v>5</v>
      </c>
      <c r="E33" s="96">
        <v>4755</v>
      </c>
      <c r="F33" s="96">
        <v>4790</v>
      </c>
      <c r="G33" s="87">
        <v>35</v>
      </c>
      <c r="H33" s="110">
        <v>25400</v>
      </c>
      <c r="I33" s="177">
        <v>36250</v>
      </c>
      <c r="J33" s="178">
        <v>61650</v>
      </c>
      <c r="K33" s="165"/>
      <c r="L33" s="1"/>
      <c r="M33" s="276">
        <v>61650</v>
      </c>
    </row>
    <row r="34" spans="1:13" x14ac:dyDescent="0.25">
      <c r="A34" s="85">
        <f t="shared" si="0"/>
        <v>32</v>
      </c>
      <c r="B34" s="1" t="s">
        <v>45</v>
      </c>
      <c r="C34" s="4" t="s">
        <v>392</v>
      </c>
      <c r="D34" s="70" t="s">
        <v>5</v>
      </c>
      <c r="E34" s="96">
        <v>812</v>
      </c>
      <c r="F34" s="96">
        <v>817</v>
      </c>
      <c r="G34" s="87">
        <v>5</v>
      </c>
      <c r="H34" s="110">
        <v>0</v>
      </c>
      <c r="I34" s="177">
        <v>6500</v>
      </c>
      <c r="J34" s="178">
        <v>6500</v>
      </c>
      <c r="K34" s="165"/>
      <c r="L34" s="1"/>
      <c r="M34" s="276">
        <v>6500</v>
      </c>
    </row>
    <row r="35" spans="1:13" x14ac:dyDescent="0.25">
      <c r="A35" s="85">
        <f t="shared" si="0"/>
        <v>33</v>
      </c>
      <c r="B35" s="1" t="s">
        <v>360</v>
      </c>
      <c r="C35" s="4" t="s">
        <v>393</v>
      </c>
      <c r="D35" s="70" t="s">
        <v>5</v>
      </c>
      <c r="E35" s="96">
        <v>4450</v>
      </c>
      <c r="F35" s="96">
        <v>4455</v>
      </c>
      <c r="G35" s="87">
        <v>5</v>
      </c>
      <c r="H35" s="110">
        <v>0</v>
      </c>
      <c r="I35" s="177">
        <v>6500</v>
      </c>
      <c r="J35" s="177">
        <v>6500</v>
      </c>
      <c r="K35" s="165"/>
      <c r="L35" s="1"/>
      <c r="M35" s="276">
        <v>6500</v>
      </c>
    </row>
    <row r="36" spans="1:13" x14ac:dyDescent="0.25">
      <c r="A36" s="85">
        <f t="shared" si="0"/>
        <v>34</v>
      </c>
      <c r="B36" s="1" t="s">
        <v>46</v>
      </c>
      <c r="C36" s="4" t="s">
        <v>394</v>
      </c>
      <c r="D36" s="70" t="s">
        <v>5</v>
      </c>
      <c r="E36" s="96">
        <v>995</v>
      </c>
      <c r="F36" s="96">
        <v>1030</v>
      </c>
      <c r="G36" s="87">
        <v>35</v>
      </c>
      <c r="H36" s="110">
        <v>0</v>
      </c>
      <c r="I36" s="177">
        <v>36250</v>
      </c>
      <c r="J36" s="178">
        <v>36250</v>
      </c>
      <c r="K36" s="177">
        <v>36250</v>
      </c>
      <c r="L36" s="1" t="s">
        <v>424</v>
      </c>
      <c r="M36" s="276">
        <v>0</v>
      </c>
    </row>
    <row r="37" spans="1:13" x14ac:dyDescent="0.25">
      <c r="A37" s="85">
        <f t="shared" si="0"/>
        <v>35</v>
      </c>
      <c r="B37" s="1" t="s">
        <v>47</v>
      </c>
      <c r="C37" s="4" t="s">
        <v>395</v>
      </c>
      <c r="D37" s="70" t="s">
        <v>5</v>
      </c>
      <c r="E37" s="96">
        <v>4310</v>
      </c>
      <c r="F37" s="96">
        <v>4341</v>
      </c>
      <c r="G37" s="87">
        <v>31</v>
      </c>
      <c r="H37" s="110">
        <v>0</v>
      </c>
      <c r="I37" s="177">
        <v>30650</v>
      </c>
      <c r="J37" s="177">
        <v>30650</v>
      </c>
      <c r="K37" s="177">
        <v>30650</v>
      </c>
      <c r="L37" s="1" t="s">
        <v>434</v>
      </c>
      <c r="M37" s="276">
        <v>0</v>
      </c>
    </row>
    <row r="38" spans="1:13" x14ac:dyDescent="0.25">
      <c r="A38" s="159">
        <f t="shared" si="0"/>
        <v>36</v>
      </c>
      <c r="B38" s="160" t="s">
        <v>48</v>
      </c>
      <c r="C38" s="161" t="s">
        <v>396</v>
      </c>
      <c r="D38" s="154" t="s">
        <v>5</v>
      </c>
      <c r="E38" s="155">
        <v>1095</v>
      </c>
      <c r="F38" s="160">
        <v>1099</v>
      </c>
      <c r="G38" s="156">
        <v>4</v>
      </c>
      <c r="H38" s="157">
        <v>10490</v>
      </c>
      <c r="I38" s="164">
        <v>2900</v>
      </c>
      <c r="J38" s="176">
        <v>13390</v>
      </c>
      <c r="K38" s="164">
        <v>13390</v>
      </c>
      <c r="L38" s="160" t="s">
        <v>434</v>
      </c>
      <c r="M38" s="271">
        <v>0</v>
      </c>
    </row>
    <row r="39" spans="1:13" x14ac:dyDescent="0.25">
      <c r="A39" s="159">
        <f t="shared" si="0"/>
        <v>37</v>
      </c>
      <c r="B39" s="160" t="s">
        <v>398</v>
      </c>
      <c r="C39" s="161" t="s">
        <v>397</v>
      </c>
      <c r="D39" s="154" t="s">
        <v>5</v>
      </c>
      <c r="E39" s="155">
        <v>2890</v>
      </c>
      <c r="F39" s="155">
        <v>2902</v>
      </c>
      <c r="G39" s="156">
        <v>12</v>
      </c>
      <c r="H39" s="157">
        <v>0</v>
      </c>
      <c r="I39" s="164">
        <v>11400</v>
      </c>
      <c r="J39" s="176">
        <v>11400</v>
      </c>
      <c r="K39" s="160">
        <v>11400</v>
      </c>
      <c r="L39" s="160" t="s">
        <v>434</v>
      </c>
      <c r="M39" s="271">
        <v>0</v>
      </c>
    </row>
    <row r="40" spans="1:13" x14ac:dyDescent="0.25">
      <c r="A40" s="85">
        <f t="shared" si="0"/>
        <v>38</v>
      </c>
      <c r="B40" s="1" t="s">
        <v>50</v>
      </c>
      <c r="C40" s="4" t="s">
        <v>400</v>
      </c>
      <c r="D40" s="70" t="s">
        <v>5</v>
      </c>
      <c r="E40" s="96">
        <v>2375</v>
      </c>
      <c r="F40" s="96">
        <v>2375</v>
      </c>
      <c r="G40" s="87">
        <v>0</v>
      </c>
      <c r="H40" s="110">
        <v>6000</v>
      </c>
      <c r="I40" s="177">
        <v>3000</v>
      </c>
      <c r="J40" s="178">
        <v>6000</v>
      </c>
      <c r="K40" s="165"/>
      <c r="L40" s="1"/>
      <c r="M40" s="276">
        <v>6000</v>
      </c>
    </row>
    <row r="41" spans="1:13" x14ac:dyDescent="0.25">
      <c r="A41" s="85">
        <f t="shared" si="0"/>
        <v>39</v>
      </c>
      <c r="B41" s="1" t="s">
        <v>51</v>
      </c>
      <c r="C41" s="4" t="s">
        <v>401</v>
      </c>
      <c r="D41" s="70" t="s">
        <v>5</v>
      </c>
      <c r="E41" s="96">
        <v>4254</v>
      </c>
      <c r="F41" s="96">
        <v>4269</v>
      </c>
      <c r="G41" s="87">
        <v>15</v>
      </c>
      <c r="H41" s="110">
        <v>0</v>
      </c>
      <c r="I41" s="177">
        <v>13500</v>
      </c>
      <c r="J41" s="178">
        <v>13500</v>
      </c>
      <c r="K41" s="177">
        <v>13500</v>
      </c>
      <c r="L41" s="1" t="s">
        <v>434</v>
      </c>
      <c r="M41" s="276">
        <v>0</v>
      </c>
    </row>
    <row r="42" spans="1:13" x14ac:dyDescent="0.25">
      <c r="A42" s="159">
        <f t="shared" si="0"/>
        <v>40</v>
      </c>
      <c r="B42" s="160" t="s">
        <v>365</v>
      </c>
      <c r="C42" s="161" t="s">
        <v>402</v>
      </c>
      <c r="D42" s="154" t="s">
        <v>5</v>
      </c>
      <c r="E42" s="155">
        <v>4030</v>
      </c>
      <c r="F42" s="160">
        <v>4041</v>
      </c>
      <c r="G42" s="156">
        <v>11</v>
      </c>
      <c r="H42" s="157">
        <v>0</v>
      </c>
      <c r="I42" s="164">
        <v>5350</v>
      </c>
      <c r="J42" s="176">
        <v>5350</v>
      </c>
      <c r="K42" s="164">
        <v>5350</v>
      </c>
      <c r="L42" s="160" t="s">
        <v>424</v>
      </c>
      <c r="M42" s="271">
        <v>0</v>
      </c>
    </row>
    <row r="43" spans="1:13" x14ac:dyDescent="0.25">
      <c r="A43" s="85">
        <f t="shared" si="0"/>
        <v>41</v>
      </c>
      <c r="B43" s="1" t="s">
        <v>349</v>
      </c>
      <c r="C43" s="4" t="s">
        <v>403</v>
      </c>
      <c r="D43" s="70" t="s">
        <v>5</v>
      </c>
      <c r="E43" s="96">
        <v>2255</v>
      </c>
      <c r="F43" s="96">
        <v>2281</v>
      </c>
      <c r="G43" s="87">
        <v>26</v>
      </c>
      <c r="H43" s="110">
        <v>0</v>
      </c>
      <c r="I43" s="177">
        <v>25050</v>
      </c>
      <c r="J43" s="178">
        <v>25050</v>
      </c>
      <c r="K43" s="177">
        <v>25050</v>
      </c>
      <c r="L43" s="1" t="s">
        <v>434</v>
      </c>
      <c r="M43" s="276">
        <v>0</v>
      </c>
    </row>
    <row r="44" spans="1:13" x14ac:dyDescent="0.25">
      <c r="A44" s="159">
        <f t="shared" si="0"/>
        <v>42</v>
      </c>
      <c r="B44" s="160" t="s">
        <v>54</v>
      </c>
      <c r="C44" s="161" t="s">
        <v>404</v>
      </c>
      <c r="D44" s="154" t="s">
        <v>5</v>
      </c>
      <c r="E44" s="155">
        <v>1647</v>
      </c>
      <c r="F44" s="160">
        <v>1660</v>
      </c>
      <c r="G44" s="156">
        <v>13</v>
      </c>
      <c r="H44" s="157">
        <v>0</v>
      </c>
      <c r="I44" s="164">
        <v>6050</v>
      </c>
      <c r="J44" s="176">
        <v>6050</v>
      </c>
      <c r="K44" s="164">
        <v>6050</v>
      </c>
      <c r="L44" s="160" t="s">
        <v>434</v>
      </c>
      <c r="M44" s="271">
        <v>0</v>
      </c>
    </row>
    <row r="45" spans="1:13" x14ac:dyDescent="0.25">
      <c r="A45" s="85">
        <f t="shared" si="0"/>
        <v>43</v>
      </c>
      <c r="B45" s="1" t="s">
        <v>55</v>
      </c>
      <c r="C45" s="4" t="s">
        <v>405</v>
      </c>
      <c r="D45" s="70" t="s">
        <v>5</v>
      </c>
      <c r="E45" s="96">
        <v>1105</v>
      </c>
      <c r="F45" s="96">
        <v>1115</v>
      </c>
      <c r="G45" s="87">
        <v>10</v>
      </c>
      <c r="H45" s="110">
        <v>37300</v>
      </c>
      <c r="I45" s="177">
        <v>10000</v>
      </c>
      <c r="J45" s="178">
        <v>47300</v>
      </c>
      <c r="K45" s="177">
        <v>47300</v>
      </c>
      <c r="L45" s="1" t="s">
        <v>434</v>
      </c>
      <c r="M45" s="276">
        <v>0</v>
      </c>
    </row>
    <row r="46" spans="1:13" x14ac:dyDescent="0.25">
      <c r="A46" s="85">
        <f t="shared" si="0"/>
        <v>44</v>
      </c>
      <c r="B46" s="1" t="s">
        <v>56</v>
      </c>
      <c r="C46" s="5" t="s">
        <v>406</v>
      </c>
      <c r="D46" s="70" t="s">
        <v>5</v>
      </c>
      <c r="E46" s="96">
        <v>398</v>
      </c>
      <c r="F46" s="96">
        <v>406</v>
      </c>
      <c r="G46" s="87">
        <v>8</v>
      </c>
      <c r="H46" s="110">
        <v>9100</v>
      </c>
      <c r="I46" s="177">
        <v>8600</v>
      </c>
      <c r="J46" s="178">
        <v>17700</v>
      </c>
      <c r="K46" s="177">
        <v>17700</v>
      </c>
      <c r="L46" s="1" t="s">
        <v>434</v>
      </c>
      <c r="M46" s="276">
        <v>0</v>
      </c>
    </row>
    <row r="47" spans="1:13" x14ac:dyDescent="0.25">
      <c r="A47" s="159">
        <f t="shared" si="0"/>
        <v>45</v>
      </c>
      <c r="B47" s="160" t="s">
        <v>57</v>
      </c>
      <c r="C47" s="161" t="s">
        <v>407</v>
      </c>
      <c r="D47" s="154" t="s">
        <v>5</v>
      </c>
      <c r="E47" s="155">
        <v>3780</v>
      </c>
      <c r="F47" s="160">
        <v>3789</v>
      </c>
      <c r="G47" s="156">
        <v>9</v>
      </c>
      <c r="H47" s="157">
        <v>5000</v>
      </c>
      <c r="I47" s="164">
        <v>4650</v>
      </c>
      <c r="J47" s="176">
        <v>9650</v>
      </c>
      <c r="K47" s="176">
        <v>9650</v>
      </c>
      <c r="L47" s="160" t="s">
        <v>434</v>
      </c>
      <c r="M47" s="311">
        <v>0</v>
      </c>
    </row>
    <row r="48" spans="1:13" x14ac:dyDescent="0.25">
      <c r="A48" s="85">
        <f t="shared" si="0"/>
        <v>46</v>
      </c>
      <c r="B48" s="1" t="s">
        <v>350</v>
      </c>
      <c r="C48" s="4"/>
      <c r="D48" s="70" t="s">
        <v>5</v>
      </c>
      <c r="E48" s="96">
        <v>1056</v>
      </c>
      <c r="F48" s="96">
        <v>1056</v>
      </c>
      <c r="G48" s="87">
        <v>0</v>
      </c>
      <c r="H48" s="110">
        <v>5100</v>
      </c>
      <c r="I48" s="177">
        <v>3000</v>
      </c>
      <c r="J48" s="178">
        <v>8100</v>
      </c>
      <c r="K48" s="266">
        <v>8100</v>
      </c>
      <c r="L48" s="1" t="s">
        <v>434</v>
      </c>
      <c r="M48" s="326">
        <v>0</v>
      </c>
    </row>
    <row r="49" spans="1:13" x14ac:dyDescent="0.25">
      <c r="A49" s="85">
        <f t="shared" si="0"/>
        <v>47</v>
      </c>
      <c r="B49" s="1" t="s">
        <v>59</v>
      </c>
      <c r="C49" s="4" t="s">
        <v>408</v>
      </c>
      <c r="D49" s="70" t="s">
        <v>5</v>
      </c>
      <c r="E49" s="96">
        <v>505</v>
      </c>
      <c r="F49" s="96">
        <v>512</v>
      </c>
      <c r="G49" s="87">
        <v>7</v>
      </c>
      <c r="H49" s="110">
        <v>0</v>
      </c>
      <c r="I49" s="177">
        <v>7900</v>
      </c>
      <c r="J49" s="177">
        <v>7900</v>
      </c>
      <c r="K49" s="177">
        <v>7900</v>
      </c>
      <c r="L49" s="1" t="s">
        <v>435</v>
      </c>
      <c r="M49" s="276">
        <v>0</v>
      </c>
    </row>
    <row r="50" spans="1:13" x14ac:dyDescent="0.25">
      <c r="A50" s="85">
        <f t="shared" si="0"/>
        <v>48</v>
      </c>
      <c r="B50" s="1" t="s">
        <v>60</v>
      </c>
      <c r="C50" s="4" t="s">
        <v>409</v>
      </c>
      <c r="D50" s="70" t="s">
        <v>5</v>
      </c>
      <c r="E50" s="96">
        <v>3327</v>
      </c>
      <c r="F50" s="96">
        <v>3350</v>
      </c>
      <c r="G50" s="87">
        <v>23</v>
      </c>
      <c r="H50" s="110">
        <v>0</v>
      </c>
      <c r="I50" s="177">
        <v>21900</v>
      </c>
      <c r="J50" s="178">
        <v>21900</v>
      </c>
      <c r="K50" s="177">
        <v>21900</v>
      </c>
      <c r="L50" s="1" t="s">
        <v>434</v>
      </c>
      <c r="M50" s="276">
        <v>0</v>
      </c>
    </row>
    <row r="51" spans="1:13" x14ac:dyDescent="0.25">
      <c r="A51" s="85">
        <f>A50+1</f>
        <v>49</v>
      </c>
      <c r="B51" s="1" t="s">
        <v>351</v>
      </c>
      <c r="C51" s="4" t="s">
        <v>410</v>
      </c>
      <c r="D51" s="70" t="s">
        <v>5</v>
      </c>
      <c r="E51" s="96">
        <v>2374</v>
      </c>
      <c r="F51" s="96">
        <v>2374</v>
      </c>
      <c r="G51" s="87">
        <v>0</v>
      </c>
      <c r="H51" s="110">
        <v>3000</v>
      </c>
      <c r="I51" s="177">
        <v>3000</v>
      </c>
      <c r="J51" s="178">
        <v>3000</v>
      </c>
      <c r="K51" s="177">
        <v>3000</v>
      </c>
      <c r="L51" s="1" t="s">
        <v>434</v>
      </c>
      <c r="M51" s="276">
        <v>0</v>
      </c>
    </row>
    <row r="52" spans="1:13" x14ac:dyDescent="0.25">
      <c r="A52" s="85">
        <f t="shared" ref="A52:A70" si="1">A51+1</f>
        <v>50</v>
      </c>
      <c r="B52" s="1" t="s">
        <v>61</v>
      </c>
      <c r="C52" s="4" t="s">
        <v>411</v>
      </c>
      <c r="D52" s="70" t="s">
        <v>5</v>
      </c>
      <c r="E52" s="96">
        <v>702</v>
      </c>
      <c r="F52" s="96">
        <v>705</v>
      </c>
      <c r="G52" s="87">
        <v>3</v>
      </c>
      <c r="H52" s="110">
        <v>0</v>
      </c>
      <c r="I52" s="177">
        <v>5100</v>
      </c>
      <c r="J52" s="178">
        <v>5100</v>
      </c>
      <c r="K52" s="266">
        <v>5800</v>
      </c>
      <c r="L52" s="1" t="s">
        <v>435</v>
      </c>
      <c r="M52" s="309">
        <v>700</v>
      </c>
    </row>
    <row r="53" spans="1:13" x14ac:dyDescent="0.25">
      <c r="A53" s="85">
        <f t="shared" si="1"/>
        <v>51</v>
      </c>
      <c r="B53" s="1" t="s">
        <v>62</v>
      </c>
      <c r="C53" s="4" t="s">
        <v>412</v>
      </c>
      <c r="D53" s="70" t="s">
        <v>5</v>
      </c>
      <c r="E53" s="96">
        <v>1761</v>
      </c>
      <c r="F53" s="96">
        <v>1766</v>
      </c>
      <c r="G53" s="87">
        <v>5</v>
      </c>
      <c r="H53" s="110">
        <v>0</v>
      </c>
      <c r="I53" s="177">
        <v>6500</v>
      </c>
      <c r="J53" s="178">
        <v>6500</v>
      </c>
      <c r="K53" s="165"/>
      <c r="L53" s="1"/>
      <c r="M53" s="276">
        <v>6500</v>
      </c>
    </row>
    <row r="54" spans="1:13" x14ac:dyDescent="0.25">
      <c r="A54" s="85">
        <f t="shared" si="1"/>
        <v>52</v>
      </c>
      <c r="B54" s="1" t="s">
        <v>63</v>
      </c>
      <c r="C54" s="162" t="s">
        <v>413</v>
      </c>
      <c r="D54" s="70" t="s">
        <v>5</v>
      </c>
      <c r="E54" s="96">
        <v>1469</v>
      </c>
      <c r="F54" s="96">
        <v>1482</v>
      </c>
      <c r="G54" s="87">
        <v>13</v>
      </c>
      <c r="H54" s="110">
        <v>20800</v>
      </c>
      <c r="I54" s="177">
        <v>12100</v>
      </c>
      <c r="J54" s="178">
        <v>43000</v>
      </c>
      <c r="K54" s="177">
        <v>20800</v>
      </c>
      <c r="L54" s="1" t="s">
        <v>434</v>
      </c>
      <c r="M54" s="313">
        <v>45640</v>
      </c>
    </row>
    <row r="55" spans="1:13" x14ac:dyDescent="0.25">
      <c r="A55" s="85">
        <f t="shared" si="1"/>
        <v>53</v>
      </c>
      <c r="B55" s="1" t="s">
        <v>64</v>
      </c>
      <c r="C55" s="4" t="s">
        <v>414</v>
      </c>
      <c r="D55" s="70" t="s">
        <v>5</v>
      </c>
      <c r="E55" s="96">
        <v>718</v>
      </c>
      <c r="F55" s="96">
        <v>723</v>
      </c>
      <c r="G55" s="87">
        <v>5</v>
      </c>
      <c r="H55" s="110">
        <v>0</v>
      </c>
      <c r="I55" s="177">
        <v>6500</v>
      </c>
      <c r="J55" s="178">
        <v>13000</v>
      </c>
      <c r="K55" s="177">
        <v>6500</v>
      </c>
      <c r="L55" s="1" t="s">
        <v>424</v>
      </c>
      <c r="M55" s="276">
        <v>0</v>
      </c>
    </row>
    <row r="56" spans="1:13" x14ac:dyDescent="0.25">
      <c r="A56" s="85">
        <f t="shared" si="1"/>
        <v>54</v>
      </c>
      <c r="B56" s="1" t="s">
        <v>65</v>
      </c>
      <c r="C56" s="4" t="s">
        <v>415</v>
      </c>
      <c r="D56" s="70" t="s">
        <v>5</v>
      </c>
      <c r="E56" s="96">
        <v>1345</v>
      </c>
      <c r="F56" s="96">
        <v>1359</v>
      </c>
      <c r="G56" s="87">
        <v>14</v>
      </c>
      <c r="H56" s="110">
        <v>79990</v>
      </c>
      <c r="I56" s="177">
        <v>12800</v>
      </c>
      <c r="J56" s="178">
        <v>92790</v>
      </c>
      <c r="K56" s="177">
        <v>92790</v>
      </c>
      <c r="L56" s="1" t="s">
        <v>434</v>
      </c>
      <c r="M56" s="276">
        <v>0</v>
      </c>
    </row>
    <row r="57" spans="1:13" x14ac:dyDescent="0.25">
      <c r="A57" s="85">
        <f t="shared" si="1"/>
        <v>55</v>
      </c>
      <c r="B57" s="1" t="s">
        <v>66</v>
      </c>
      <c r="C57" s="4" t="s">
        <v>416</v>
      </c>
      <c r="D57" s="70" t="s">
        <v>5</v>
      </c>
      <c r="E57" s="96">
        <v>6288</v>
      </c>
      <c r="F57" s="96">
        <v>6292</v>
      </c>
      <c r="G57" s="87">
        <v>4</v>
      </c>
      <c r="H57" s="110">
        <v>0</v>
      </c>
      <c r="I57" s="177">
        <v>5800</v>
      </c>
      <c r="J57" s="178">
        <v>5800</v>
      </c>
      <c r="K57" s="177">
        <v>5800</v>
      </c>
      <c r="L57" s="1" t="s">
        <v>434</v>
      </c>
      <c r="M57" s="276">
        <v>0</v>
      </c>
    </row>
    <row r="58" spans="1:13" x14ac:dyDescent="0.25">
      <c r="A58" s="85">
        <f t="shared" si="1"/>
        <v>56</v>
      </c>
      <c r="B58" s="1" t="s">
        <v>67</v>
      </c>
      <c r="C58" s="4" t="s">
        <v>417</v>
      </c>
      <c r="D58" s="70" t="s">
        <v>5</v>
      </c>
      <c r="E58" s="96">
        <v>914</v>
      </c>
      <c r="F58" s="96">
        <v>924</v>
      </c>
      <c r="G58" s="87">
        <v>10</v>
      </c>
      <c r="H58" s="110">
        <v>0</v>
      </c>
      <c r="I58" s="177">
        <v>10000</v>
      </c>
      <c r="J58" s="178">
        <v>26000</v>
      </c>
      <c r="K58" s="177">
        <v>26000</v>
      </c>
      <c r="L58" s="1" t="s">
        <v>434</v>
      </c>
      <c r="M58" s="276">
        <v>0</v>
      </c>
    </row>
    <row r="59" spans="1:13" x14ac:dyDescent="0.25">
      <c r="A59" s="85">
        <f t="shared" si="1"/>
        <v>57</v>
      </c>
      <c r="B59" s="1" t="s">
        <v>368</v>
      </c>
      <c r="C59" s="4" t="s">
        <v>418</v>
      </c>
      <c r="D59" s="70" t="s">
        <v>5</v>
      </c>
      <c r="E59" s="96">
        <v>750</v>
      </c>
      <c r="F59" s="96">
        <v>756</v>
      </c>
      <c r="G59" s="87">
        <v>6</v>
      </c>
      <c r="H59" s="110">
        <v>0</v>
      </c>
      <c r="I59" s="177">
        <v>7200</v>
      </c>
      <c r="J59" s="178">
        <v>7200</v>
      </c>
      <c r="K59" s="177">
        <v>7200</v>
      </c>
      <c r="L59" s="1" t="s">
        <v>434</v>
      </c>
      <c r="M59" s="276">
        <v>0</v>
      </c>
    </row>
    <row r="60" spans="1:13" x14ac:dyDescent="0.25">
      <c r="A60" s="85">
        <f t="shared" si="1"/>
        <v>58</v>
      </c>
      <c r="B60" s="1" t="s">
        <v>69</v>
      </c>
      <c r="C60" s="4" t="s">
        <v>90</v>
      </c>
      <c r="D60" s="70" t="s">
        <v>5</v>
      </c>
      <c r="E60" s="96">
        <v>1392</v>
      </c>
      <c r="F60" s="96">
        <v>1411</v>
      </c>
      <c r="G60" s="87">
        <v>19</v>
      </c>
      <c r="H60" s="110">
        <v>0</v>
      </c>
      <c r="I60" s="177">
        <v>17700</v>
      </c>
      <c r="J60" s="178">
        <v>17700</v>
      </c>
      <c r="K60" s="177">
        <v>17700</v>
      </c>
      <c r="L60" s="1" t="s">
        <v>434</v>
      </c>
      <c r="M60" s="276">
        <v>0</v>
      </c>
    </row>
    <row r="61" spans="1:13" x14ac:dyDescent="0.25">
      <c r="A61" s="85">
        <f t="shared" si="1"/>
        <v>59</v>
      </c>
      <c r="B61" s="1" t="s">
        <v>70</v>
      </c>
      <c r="C61" s="5" t="s">
        <v>419</v>
      </c>
      <c r="D61" s="70" t="s">
        <v>5</v>
      </c>
      <c r="E61" s="96">
        <v>80</v>
      </c>
      <c r="F61" s="96">
        <v>85</v>
      </c>
      <c r="G61" s="87">
        <v>5</v>
      </c>
      <c r="H61" s="110">
        <v>0</v>
      </c>
      <c r="I61" s="177">
        <v>6500</v>
      </c>
      <c r="J61" s="178">
        <v>6500</v>
      </c>
      <c r="K61" s="165">
        <v>6500</v>
      </c>
      <c r="L61" s="1" t="s">
        <v>434</v>
      </c>
      <c r="M61" s="276">
        <v>0</v>
      </c>
    </row>
    <row r="62" spans="1:13" x14ac:dyDescent="0.25">
      <c r="A62" s="85">
        <f t="shared" si="1"/>
        <v>60</v>
      </c>
      <c r="B62" s="1" t="s">
        <v>431</v>
      </c>
      <c r="C62" s="4" t="s">
        <v>89</v>
      </c>
      <c r="D62" s="70" t="s">
        <v>5</v>
      </c>
      <c r="E62" s="96">
        <v>2274</v>
      </c>
      <c r="F62" s="96">
        <v>2315</v>
      </c>
      <c r="G62" s="87">
        <v>41</v>
      </c>
      <c r="H62" s="110">
        <v>0</v>
      </c>
      <c r="I62" s="177">
        <v>44650</v>
      </c>
      <c r="J62" s="178">
        <v>44650</v>
      </c>
      <c r="K62" s="177"/>
      <c r="L62" s="1"/>
      <c r="M62" s="276">
        <v>44650</v>
      </c>
    </row>
    <row r="63" spans="1:13" x14ac:dyDescent="0.25">
      <c r="A63" s="85">
        <f t="shared" si="1"/>
        <v>61</v>
      </c>
      <c r="B63" s="1" t="s">
        <v>72</v>
      </c>
      <c r="C63" s="4" t="s">
        <v>88</v>
      </c>
      <c r="D63" s="70" t="s">
        <v>5</v>
      </c>
      <c r="E63" s="96">
        <v>8007</v>
      </c>
      <c r="F63" s="96">
        <v>8271</v>
      </c>
      <c r="G63" s="87">
        <v>264</v>
      </c>
      <c r="H63" s="110">
        <v>0</v>
      </c>
      <c r="I63" s="177">
        <v>283800</v>
      </c>
      <c r="J63" s="178">
        <v>283800</v>
      </c>
      <c r="K63" s="177">
        <v>283800</v>
      </c>
      <c r="L63" s="1" t="s">
        <v>434</v>
      </c>
      <c r="M63" s="276">
        <v>0</v>
      </c>
    </row>
    <row r="64" spans="1:13" x14ac:dyDescent="0.25">
      <c r="A64" s="85">
        <f t="shared" si="1"/>
        <v>62</v>
      </c>
      <c r="B64" s="1" t="s">
        <v>73</v>
      </c>
      <c r="C64" s="4" t="s">
        <v>87</v>
      </c>
      <c r="D64" s="70" t="s">
        <v>5</v>
      </c>
      <c r="E64" s="96">
        <v>122</v>
      </c>
      <c r="F64" s="96">
        <v>122</v>
      </c>
      <c r="G64" s="87">
        <v>0</v>
      </c>
      <c r="H64" s="110">
        <v>15000</v>
      </c>
      <c r="I64" s="177">
        <v>3000</v>
      </c>
      <c r="J64" s="178">
        <v>18000</v>
      </c>
      <c r="K64" s="177">
        <v>18000</v>
      </c>
      <c r="L64" s="1" t="s">
        <v>434</v>
      </c>
      <c r="M64" s="276">
        <v>0</v>
      </c>
    </row>
    <row r="65" spans="1:14" x14ac:dyDescent="0.25">
      <c r="A65" s="85">
        <f t="shared" si="1"/>
        <v>63</v>
      </c>
      <c r="B65" s="1" t="s">
        <v>74</v>
      </c>
      <c r="C65" s="4" t="s">
        <v>86</v>
      </c>
      <c r="D65" s="70" t="s">
        <v>5</v>
      </c>
      <c r="E65" s="96">
        <v>15</v>
      </c>
      <c r="F65" s="96">
        <v>22</v>
      </c>
      <c r="G65" s="87">
        <v>7</v>
      </c>
      <c r="H65" s="110">
        <v>3000</v>
      </c>
      <c r="I65" s="177">
        <v>7900</v>
      </c>
      <c r="J65" s="178">
        <v>10900</v>
      </c>
      <c r="K65" s="165">
        <v>10800</v>
      </c>
      <c r="L65" s="1" t="s">
        <v>434</v>
      </c>
      <c r="M65" s="276">
        <v>100</v>
      </c>
    </row>
    <row r="66" spans="1:14" x14ac:dyDescent="0.25">
      <c r="A66" s="85">
        <f t="shared" si="1"/>
        <v>64</v>
      </c>
      <c r="B66" s="1" t="s">
        <v>369</v>
      </c>
      <c r="C66" s="4" t="s">
        <v>85</v>
      </c>
      <c r="D66" s="70" t="s">
        <v>5</v>
      </c>
      <c r="E66" s="96">
        <v>78</v>
      </c>
      <c r="F66" s="96">
        <v>78</v>
      </c>
      <c r="G66" s="87">
        <v>0</v>
      </c>
      <c r="H66" s="110">
        <v>0</v>
      </c>
      <c r="I66" s="177">
        <v>3000</v>
      </c>
      <c r="J66" s="178">
        <v>3000</v>
      </c>
      <c r="K66" s="165"/>
      <c r="L66" s="1"/>
      <c r="M66" s="276">
        <v>3000</v>
      </c>
    </row>
    <row r="67" spans="1:14" x14ac:dyDescent="0.25">
      <c r="A67" s="85">
        <f t="shared" si="1"/>
        <v>65</v>
      </c>
      <c r="B67" s="1" t="s">
        <v>75</v>
      </c>
      <c r="C67" s="4" t="s">
        <v>83</v>
      </c>
      <c r="D67" s="70" t="s">
        <v>5</v>
      </c>
      <c r="E67" s="96">
        <v>2831</v>
      </c>
      <c r="F67" s="96">
        <v>2858</v>
      </c>
      <c r="G67" s="87">
        <v>27</v>
      </c>
      <c r="H67" s="110">
        <v>0</v>
      </c>
      <c r="I67" s="177">
        <v>26100</v>
      </c>
      <c r="J67" s="178">
        <v>26100</v>
      </c>
      <c r="K67" s="177">
        <v>26100</v>
      </c>
      <c r="L67" s="1" t="s">
        <v>434</v>
      </c>
      <c r="M67" s="276">
        <v>0</v>
      </c>
    </row>
    <row r="68" spans="1:14" x14ac:dyDescent="0.25">
      <c r="A68" s="85">
        <f t="shared" si="1"/>
        <v>66</v>
      </c>
      <c r="B68" s="1" t="s">
        <v>76</v>
      </c>
      <c r="C68" s="4" t="s">
        <v>82</v>
      </c>
      <c r="D68" s="70" t="s">
        <v>5</v>
      </c>
      <c r="E68" s="96">
        <v>1238</v>
      </c>
      <c r="F68" s="96">
        <v>1247</v>
      </c>
      <c r="G68" s="87">
        <v>9</v>
      </c>
      <c r="H68" s="110">
        <v>0</v>
      </c>
      <c r="I68" s="177">
        <v>9300</v>
      </c>
      <c r="J68" s="178">
        <v>9300</v>
      </c>
      <c r="K68" s="177">
        <v>9300</v>
      </c>
      <c r="L68" s="1" t="s">
        <v>434</v>
      </c>
      <c r="M68" s="276">
        <v>0</v>
      </c>
    </row>
    <row r="69" spans="1:14" x14ac:dyDescent="0.25">
      <c r="A69" s="85">
        <f t="shared" si="1"/>
        <v>67</v>
      </c>
      <c r="B69" s="1" t="s">
        <v>77</v>
      </c>
      <c r="C69" s="4" t="s">
        <v>6</v>
      </c>
      <c r="D69" s="70" t="s">
        <v>5</v>
      </c>
      <c r="E69" s="96">
        <v>1740</v>
      </c>
      <c r="F69" s="96">
        <v>1740</v>
      </c>
      <c r="G69" s="87">
        <v>0</v>
      </c>
      <c r="H69" s="110">
        <v>0</v>
      </c>
      <c r="I69" s="177">
        <v>3000</v>
      </c>
      <c r="J69" s="178">
        <v>3000</v>
      </c>
      <c r="K69" s="165"/>
      <c r="L69" s="1"/>
      <c r="M69" s="276">
        <v>3000</v>
      </c>
    </row>
    <row r="70" spans="1:14" x14ac:dyDescent="0.25">
      <c r="A70" s="85">
        <f t="shared" si="1"/>
        <v>68</v>
      </c>
      <c r="B70" s="1" t="s">
        <v>78</v>
      </c>
      <c r="C70" s="4" t="s">
        <v>79</v>
      </c>
      <c r="D70" s="70" t="s">
        <v>5</v>
      </c>
      <c r="E70" s="96">
        <v>1325</v>
      </c>
      <c r="F70" s="96">
        <v>1337</v>
      </c>
      <c r="G70" s="87">
        <v>12</v>
      </c>
      <c r="H70" s="110">
        <v>0</v>
      </c>
      <c r="I70" s="177">
        <v>11400</v>
      </c>
      <c r="J70" s="178">
        <v>11400</v>
      </c>
      <c r="K70" s="177">
        <v>11400</v>
      </c>
      <c r="L70" s="1" t="s">
        <v>434</v>
      </c>
      <c r="M70" s="276">
        <v>0</v>
      </c>
    </row>
    <row r="71" spans="1:14" x14ac:dyDescent="0.25">
      <c r="A71" s="85">
        <v>69</v>
      </c>
      <c r="B71" s="1" t="s">
        <v>80</v>
      </c>
      <c r="C71" s="4" t="s">
        <v>81</v>
      </c>
      <c r="D71" s="70" t="s">
        <v>5</v>
      </c>
      <c r="E71" s="96">
        <v>62</v>
      </c>
      <c r="F71" s="96">
        <v>62</v>
      </c>
      <c r="G71" s="87">
        <v>0</v>
      </c>
      <c r="H71" s="110">
        <v>4400</v>
      </c>
      <c r="I71" s="177">
        <v>3000</v>
      </c>
      <c r="J71" s="177">
        <v>7400</v>
      </c>
      <c r="K71" s="177">
        <v>7400</v>
      </c>
      <c r="L71" s="1" t="s">
        <v>434</v>
      </c>
      <c r="M71" s="276">
        <v>0</v>
      </c>
      <c r="N71" s="188"/>
    </row>
    <row r="72" spans="1:14" x14ac:dyDescent="0.25">
      <c r="A72" s="212"/>
      <c r="B72" s="146"/>
      <c r="C72" s="146"/>
      <c r="D72" s="168"/>
      <c r="E72" s="141"/>
      <c r="F72" s="141"/>
      <c r="G72" s="170"/>
      <c r="H72" s="143"/>
      <c r="I72" s="143"/>
      <c r="J72" s="143"/>
      <c r="K72" s="146"/>
      <c r="L72" s="146"/>
      <c r="M72" s="327"/>
    </row>
    <row r="73" spans="1:14" ht="15.75" thickBot="1" x14ac:dyDescent="0.3">
      <c r="A73" s="212"/>
      <c r="B73" s="146"/>
      <c r="C73" s="169"/>
      <c r="D73" s="168"/>
      <c r="E73" s="141"/>
      <c r="F73" s="141"/>
      <c r="G73" s="170"/>
      <c r="H73" s="143"/>
      <c r="I73" s="143"/>
      <c r="J73" s="143"/>
      <c r="K73" s="146"/>
      <c r="L73" s="146"/>
      <c r="M73" s="327"/>
    </row>
    <row r="74" spans="1:14" x14ac:dyDescent="0.25">
      <c r="A74" s="378" t="s">
        <v>8</v>
      </c>
      <c r="B74" s="378"/>
      <c r="C74" s="378"/>
      <c r="D74" s="132"/>
      <c r="E74" s="131"/>
      <c r="F74" s="151" t="s">
        <v>425</v>
      </c>
      <c r="G74" s="131"/>
      <c r="H74" s="131"/>
      <c r="I74" s="131"/>
      <c r="J74" s="133"/>
    </row>
    <row r="75" spans="1:14" x14ac:dyDescent="0.25">
      <c r="A75" s="91" t="s">
        <v>3</v>
      </c>
      <c r="B75" s="128" t="s">
        <v>0</v>
      </c>
      <c r="C75" s="128" t="s">
        <v>1</v>
      </c>
      <c r="D75" s="129" t="s">
        <v>2</v>
      </c>
      <c r="E75" s="129" t="s">
        <v>336</v>
      </c>
      <c r="F75" s="129" t="s">
        <v>337</v>
      </c>
      <c r="G75" s="128" t="s">
        <v>10</v>
      </c>
      <c r="H75" s="129" t="s">
        <v>356</v>
      </c>
      <c r="I75" s="129" t="s">
        <v>357</v>
      </c>
      <c r="J75" s="128" t="s">
        <v>11</v>
      </c>
      <c r="K75" s="129" t="s">
        <v>12</v>
      </c>
      <c r="L75" s="129" t="s">
        <v>355</v>
      </c>
      <c r="M75" s="308" t="s">
        <v>13</v>
      </c>
    </row>
    <row r="76" spans="1:14" x14ac:dyDescent="0.25">
      <c r="A76" s="159">
        <v>1</v>
      </c>
      <c r="B76" s="184" t="s">
        <v>102</v>
      </c>
      <c r="C76" s="153" t="s">
        <v>103</v>
      </c>
      <c r="D76" s="154" t="s">
        <v>334</v>
      </c>
      <c r="E76" s="155">
        <v>0</v>
      </c>
      <c r="F76" s="155">
        <v>8</v>
      </c>
      <c r="G76" s="156">
        <v>8</v>
      </c>
      <c r="H76" s="157">
        <v>0</v>
      </c>
      <c r="I76" s="164">
        <v>4300</v>
      </c>
      <c r="J76" s="223">
        <v>27050</v>
      </c>
      <c r="K76" s="160"/>
      <c r="L76" s="160"/>
      <c r="M76" s="271">
        <v>22750</v>
      </c>
    </row>
    <row r="77" spans="1:14" x14ac:dyDescent="0.25">
      <c r="A77" s="85">
        <f t="shared" ref="A77:A86" si="2">A76+1</f>
        <v>2</v>
      </c>
      <c r="B77" s="185" t="s">
        <v>370</v>
      </c>
      <c r="C77" s="58"/>
      <c r="D77" s="70" t="s">
        <v>334</v>
      </c>
      <c r="E77" s="96">
        <v>2743</v>
      </c>
      <c r="F77" s="96">
        <v>2747</v>
      </c>
      <c r="G77" s="87">
        <v>4</v>
      </c>
      <c r="H77" s="110">
        <v>31700</v>
      </c>
      <c r="I77" s="177">
        <v>5800</v>
      </c>
      <c r="J77" s="178">
        <v>37500</v>
      </c>
      <c r="K77" s="177">
        <v>37500</v>
      </c>
      <c r="L77" s="1"/>
      <c r="M77" s="276">
        <v>0</v>
      </c>
    </row>
    <row r="78" spans="1:14" x14ac:dyDescent="0.25">
      <c r="A78" s="85">
        <f t="shared" si="2"/>
        <v>3</v>
      </c>
      <c r="B78" s="185" t="s">
        <v>105</v>
      </c>
      <c r="C78" s="58" t="s">
        <v>106</v>
      </c>
      <c r="D78" s="70" t="s">
        <v>335</v>
      </c>
      <c r="E78" s="96">
        <v>495</v>
      </c>
      <c r="F78" s="96">
        <v>508</v>
      </c>
      <c r="G78" s="87">
        <v>13</v>
      </c>
      <c r="H78" s="110">
        <v>0</v>
      </c>
      <c r="I78" s="177">
        <v>12100</v>
      </c>
      <c r="J78" s="178">
        <v>12100</v>
      </c>
      <c r="K78" s="177">
        <v>12100</v>
      </c>
      <c r="L78" s="1" t="s">
        <v>434</v>
      </c>
      <c r="M78" s="276">
        <v>0</v>
      </c>
      <c r="N78" s="191">
        <v>45996</v>
      </c>
    </row>
    <row r="79" spans="1:14" x14ac:dyDescent="0.25">
      <c r="A79" s="85">
        <f t="shared" si="2"/>
        <v>4</v>
      </c>
      <c r="B79" s="185" t="s">
        <v>107</v>
      </c>
      <c r="C79" s="58"/>
      <c r="D79" s="70" t="s">
        <v>335</v>
      </c>
      <c r="E79" s="96">
        <v>2448</v>
      </c>
      <c r="F79" s="96">
        <v>2458</v>
      </c>
      <c r="G79" s="87">
        <v>10</v>
      </c>
      <c r="H79" s="110">
        <v>99400</v>
      </c>
      <c r="I79" s="177">
        <v>10000</v>
      </c>
      <c r="J79" s="178">
        <v>109400</v>
      </c>
      <c r="K79" s="165"/>
      <c r="L79" s="1"/>
      <c r="M79" s="276"/>
    </row>
    <row r="80" spans="1:14" x14ac:dyDescent="0.25">
      <c r="A80" s="85">
        <f t="shared" si="2"/>
        <v>5</v>
      </c>
      <c r="B80" s="185" t="s">
        <v>108</v>
      </c>
      <c r="C80" s="58" t="s">
        <v>111</v>
      </c>
      <c r="D80" s="70" t="s">
        <v>334</v>
      </c>
      <c r="E80" s="96">
        <v>2399</v>
      </c>
      <c r="F80" s="96">
        <v>2409</v>
      </c>
      <c r="G80" s="87">
        <v>10</v>
      </c>
      <c r="H80" s="110">
        <v>29110</v>
      </c>
      <c r="I80" s="177">
        <v>10000</v>
      </c>
      <c r="J80" s="178">
        <v>39110</v>
      </c>
      <c r="K80" s="177">
        <v>40000</v>
      </c>
      <c r="L80" s="1" t="s">
        <v>435</v>
      </c>
      <c r="M80" s="328">
        <v>890</v>
      </c>
    </row>
    <row r="81" spans="1:13" x14ac:dyDescent="0.25">
      <c r="A81" s="85">
        <f t="shared" si="2"/>
        <v>6</v>
      </c>
      <c r="B81" s="185" t="s">
        <v>109</v>
      </c>
      <c r="C81" s="58" t="s">
        <v>110</v>
      </c>
      <c r="D81" s="70" t="s">
        <v>334</v>
      </c>
      <c r="E81" s="96">
        <v>657</v>
      </c>
      <c r="F81" s="96">
        <v>670</v>
      </c>
      <c r="G81" s="87">
        <v>13</v>
      </c>
      <c r="H81" s="110">
        <v>0</v>
      </c>
      <c r="I81" s="177">
        <v>12100</v>
      </c>
      <c r="J81" s="178">
        <v>17100</v>
      </c>
      <c r="K81" s="177">
        <v>17100</v>
      </c>
      <c r="L81" s="1" t="s">
        <v>434</v>
      </c>
      <c r="M81" s="276">
        <v>0</v>
      </c>
    </row>
    <row r="82" spans="1:13" x14ac:dyDescent="0.25">
      <c r="A82" s="85">
        <f t="shared" si="2"/>
        <v>7</v>
      </c>
      <c r="B82" s="185" t="s">
        <v>112</v>
      </c>
      <c r="C82" s="58" t="s">
        <v>113</v>
      </c>
      <c r="D82" s="70" t="s">
        <v>335</v>
      </c>
      <c r="E82" s="96">
        <v>11</v>
      </c>
      <c r="F82" s="96">
        <v>11</v>
      </c>
      <c r="G82" s="87">
        <v>0</v>
      </c>
      <c r="H82" s="110">
        <v>10700</v>
      </c>
      <c r="I82" s="177">
        <v>3000</v>
      </c>
      <c r="J82" s="178">
        <v>13700</v>
      </c>
      <c r="K82" s="165"/>
      <c r="L82" s="1"/>
      <c r="M82" s="276"/>
    </row>
    <row r="83" spans="1:13" x14ac:dyDescent="0.25">
      <c r="A83" s="85">
        <f t="shared" si="2"/>
        <v>8</v>
      </c>
      <c r="B83" s="185" t="s">
        <v>114</v>
      </c>
      <c r="C83" s="58" t="s">
        <v>115</v>
      </c>
      <c r="D83" s="70" t="s">
        <v>335</v>
      </c>
      <c r="E83" s="96">
        <v>386</v>
      </c>
      <c r="F83" s="96">
        <v>392</v>
      </c>
      <c r="G83" s="87">
        <v>6</v>
      </c>
      <c r="H83" s="110">
        <v>0</v>
      </c>
      <c r="I83" s="177">
        <v>7200</v>
      </c>
      <c r="J83" s="178">
        <v>7200</v>
      </c>
      <c r="K83" s="177">
        <v>7200</v>
      </c>
      <c r="L83" s="1" t="s">
        <v>434</v>
      </c>
      <c r="M83" s="276">
        <v>0</v>
      </c>
    </row>
    <row r="84" spans="1:13" x14ac:dyDescent="0.25">
      <c r="A84" s="213">
        <f t="shared" si="2"/>
        <v>9</v>
      </c>
      <c r="B84" s="179" t="s">
        <v>116</v>
      </c>
      <c r="C84" s="180"/>
      <c r="D84" s="181" t="s">
        <v>334</v>
      </c>
      <c r="E84" s="182">
        <v>155</v>
      </c>
      <c r="F84" s="182">
        <v>156</v>
      </c>
      <c r="G84" s="87">
        <v>1</v>
      </c>
      <c r="H84" s="253">
        <v>2600</v>
      </c>
      <c r="I84" s="177">
        <v>3700</v>
      </c>
      <c r="J84" s="178">
        <v>1100</v>
      </c>
      <c r="K84" s="165"/>
      <c r="L84" s="1"/>
      <c r="M84" s="276"/>
    </row>
    <row r="85" spans="1:13" x14ac:dyDescent="0.25">
      <c r="A85" s="85">
        <f t="shared" si="2"/>
        <v>10</v>
      </c>
      <c r="B85" s="185" t="s">
        <v>117</v>
      </c>
      <c r="C85" s="58" t="s">
        <v>118</v>
      </c>
      <c r="D85" s="70" t="s">
        <v>335</v>
      </c>
      <c r="E85" s="96">
        <v>1356</v>
      </c>
      <c r="F85" s="96">
        <v>1367</v>
      </c>
      <c r="G85" s="87">
        <v>11</v>
      </c>
      <c r="H85" s="110">
        <v>15170</v>
      </c>
      <c r="I85" s="177">
        <v>10700</v>
      </c>
      <c r="J85" s="178">
        <v>25870</v>
      </c>
      <c r="K85" s="165"/>
      <c r="L85" s="1"/>
      <c r="M85" s="276"/>
    </row>
    <row r="86" spans="1:13" x14ac:dyDescent="0.25">
      <c r="A86" s="85">
        <f t="shared" si="2"/>
        <v>11</v>
      </c>
      <c r="B86" s="185" t="s">
        <v>119</v>
      </c>
      <c r="C86" s="58" t="s">
        <v>120</v>
      </c>
      <c r="D86" s="70" t="s">
        <v>335</v>
      </c>
      <c r="E86" s="96">
        <v>2889</v>
      </c>
      <c r="F86" s="96">
        <v>2911</v>
      </c>
      <c r="G86" s="87">
        <v>22</v>
      </c>
      <c r="H86" s="110">
        <v>0</v>
      </c>
      <c r="I86" s="177">
        <v>20850</v>
      </c>
      <c r="J86" s="178">
        <v>39050</v>
      </c>
      <c r="K86" s="177">
        <v>39050</v>
      </c>
      <c r="L86" s="1" t="s">
        <v>435</v>
      </c>
      <c r="M86" s="276">
        <v>0</v>
      </c>
    </row>
    <row r="87" spans="1:13" x14ac:dyDescent="0.25">
      <c r="A87" s="85">
        <v>12</v>
      </c>
      <c r="B87" s="185" t="s">
        <v>428</v>
      </c>
      <c r="C87" s="58"/>
      <c r="D87" s="70"/>
      <c r="E87" s="96">
        <v>0</v>
      </c>
      <c r="F87" s="96">
        <v>0</v>
      </c>
      <c r="G87" s="87">
        <v>0</v>
      </c>
      <c r="H87" s="110"/>
      <c r="I87" s="177">
        <v>3000</v>
      </c>
      <c r="J87" s="178">
        <v>3000</v>
      </c>
      <c r="K87" s="165"/>
      <c r="L87" s="1"/>
      <c r="M87" s="276">
        <v>3000</v>
      </c>
    </row>
    <row r="88" spans="1:13" x14ac:dyDescent="0.25">
      <c r="A88" s="85">
        <v>13</v>
      </c>
      <c r="B88" s="185" t="s">
        <v>121</v>
      </c>
      <c r="C88" s="58" t="s">
        <v>122</v>
      </c>
      <c r="D88" s="70" t="s">
        <v>335</v>
      </c>
      <c r="E88" s="96">
        <v>1935</v>
      </c>
      <c r="F88" s="96">
        <v>1935</v>
      </c>
      <c r="G88" s="87">
        <v>0</v>
      </c>
      <c r="H88" s="110">
        <v>0</v>
      </c>
      <c r="I88" s="177">
        <v>3000</v>
      </c>
      <c r="J88" s="178">
        <v>3000</v>
      </c>
      <c r="K88" s="165"/>
      <c r="L88" s="1"/>
      <c r="M88" s="276">
        <v>3000</v>
      </c>
    </row>
    <row r="89" spans="1:13" x14ac:dyDescent="0.25">
      <c r="A89" s="85">
        <v>14</v>
      </c>
      <c r="B89" s="185" t="s">
        <v>123</v>
      </c>
      <c r="C89" s="58" t="s">
        <v>124</v>
      </c>
      <c r="D89" s="70" t="s">
        <v>335</v>
      </c>
      <c r="E89" s="96"/>
      <c r="F89" s="96"/>
      <c r="G89" s="87"/>
      <c r="H89" s="110">
        <v>22750</v>
      </c>
      <c r="I89" s="177">
        <v>22750</v>
      </c>
      <c r="J89" s="178">
        <v>22750</v>
      </c>
      <c r="K89" s="165"/>
      <c r="L89" s="1"/>
      <c r="M89" s="276"/>
    </row>
    <row r="90" spans="1:13" x14ac:dyDescent="0.25">
      <c r="A90" s="85">
        <v>15</v>
      </c>
      <c r="B90" s="185" t="s">
        <v>429</v>
      </c>
      <c r="C90" s="58"/>
      <c r="D90" s="70"/>
      <c r="E90" s="96">
        <v>0</v>
      </c>
      <c r="F90" s="96">
        <v>15</v>
      </c>
      <c r="G90" s="87">
        <v>15</v>
      </c>
      <c r="H90" s="110">
        <v>13500</v>
      </c>
      <c r="I90" s="177">
        <v>13500</v>
      </c>
      <c r="J90" s="178">
        <v>126840</v>
      </c>
      <c r="K90" s="177">
        <v>126000</v>
      </c>
      <c r="L90" s="1" t="s">
        <v>435</v>
      </c>
      <c r="M90" s="276">
        <v>840</v>
      </c>
    </row>
    <row r="91" spans="1:13" x14ac:dyDescent="0.25">
      <c r="A91" s="85">
        <v>16</v>
      </c>
      <c r="B91" s="185" t="s">
        <v>125</v>
      </c>
      <c r="C91" s="58" t="s">
        <v>126</v>
      </c>
      <c r="D91" s="70" t="s">
        <v>335</v>
      </c>
      <c r="E91" s="96">
        <v>3099</v>
      </c>
      <c r="F91" s="96">
        <v>3116</v>
      </c>
      <c r="G91" s="87">
        <v>17</v>
      </c>
      <c r="H91" s="110">
        <v>50300</v>
      </c>
      <c r="I91" s="177">
        <v>15600</v>
      </c>
      <c r="J91" s="178">
        <v>65900</v>
      </c>
      <c r="K91" s="177">
        <v>50000</v>
      </c>
      <c r="L91" s="1" t="s">
        <v>435</v>
      </c>
      <c r="M91" s="276">
        <v>15900</v>
      </c>
    </row>
    <row r="92" spans="1:13" x14ac:dyDescent="0.25">
      <c r="A92" s="85">
        <v>17</v>
      </c>
      <c r="B92" s="185" t="s">
        <v>127</v>
      </c>
      <c r="C92" s="58" t="s">
        <v>128</v>
      </c>
      <c r="D92" s="70" t="s">
        <v>335</v>
      </c>
      <c r="E92" s="96">
        <v>1768</v>
      </c>
      <c r="F92" s="96">
        <v>1768</v>
      </c>
      <c r="G92" s="87">
        <v>0</v>
      </c>
      <c r="H92" s="110">
        <v>0</v>
      </c>
      <c r="I92" s="177">
        <v>3000</v>
      </c>
      <c r="J92" s="178">
        <v>3000</v>
      </c>
      <c r="K92" s="177">
        <v>3000</v>
      </c>
      <c r="L92" s="1" t="s">
        <v>435</v>
      </c>
      <c r="M92" s="276">
        <v>0</v>
      </c>
    </row>
    <row r="93" spans="1:13" x14ac:dyDescent="0.25">
      <c r="A93" s="85">
        <v>18</v>
      </c>
      <c r="B93" s="185" t="s">
        <v>129</v>
      </c>
      <c r="C93" s="58" t="s">
        <v>130</v>
      </c>
      <c r="D93" s="70" t="s">
        <v>335</v>
      </c>
      <c r="E93" s="96">
        <v>2389</v>
      </c>
      <c r="F93" s="96">
        <v>2400</v>
      </c>
      <c r="G93" s="87">
        <v>11</v>
      </c>
      <c r="H93" s="110">
        <v>0</v>
      </c>
      <c r="I93" s="177">
        <v>10700</v>
      </c>
      <c r="J93" s="178">
        <v>10700</v>
      </c>
      <c r="K93" s="177">
        <v>10700</v>
      </c>
      <c r="L93" s="1" t="s">
        <v>435</v>
      </c>
      <c r="M93" s="276">
        <v>0</v>
      </c>
    </row>
    <row r="94" spans="1:13" x14ac:dyDescent="0.25">
      <c r="A94" s="85">
        <v>19</v>
      </c>
      <c r="B94" s="185" t="s">
        <v>131</v>
      </c>
      <c r="C94" s="58" t="s">
        <v>132</v>
      </c>
      <c r="D94" s="70" t="s">
        <v>335</v>
      </c>
      <c r="E94" s="96">
        <v>163</v>
      </c>
      <c r="F94" s="96">
        <v>176</v>
      </c>
      <c r="G94" s="87">
        <v>13</v>
      </c>
      <c r="H94" s="110">
        <v>28000</v>
      </c>
      <c r="I94" s="177">
        <v>12100</v>
      </c>
      <c r="J94" s="178">
        <v>40100</v>
      </c>
      <c r="K94" s="177">
        <v>40100</v>
      </c>
      <c r="L94" s="1" t="s">
        <v>434</v>
      </c>
      <c r="M94" s="276">
        <v>28000</v>
      </c>
    </row>
    <row r="95" spans="1:13" x14ac:dyDescent="0.25">
      <c r="A95" s="85">
        <v>20</v>
      </c>
      <c r="B95" s="185" t="s">
        <v>133</v>
      </c>
      <c r="C95" s="58" t="s">
        <v>134</v>
      </c>
      <c r="D95" s="70" t="s">
        <v>335</v>
      </c>
      <c r="E95" s="96">
        <v>1525</v>
      </c>
      <c r="F95" s="96">
        <v>1540</v>
      </c>
      <c r="G95" s="87">
        <v>15</v>
      </c>
      <c r="H95" s="110">
        <v>26300</v>
      </c>
      <c r="I95" s="177">
        <v>13500</v>
      </c>
      <c r="J95" s="178">
        <v>39800</v>
      </c>
      <c r="K95" s="177">
        <v>39800</v>
      </c>
      <c r="L95" s="1" t="s">
        <v>424</v>
      </c>
      <c r="M95" s="276">
        <v>0</v>
      </c>
    </row>
    <row r="96" spans="1:13" x14ac:dyDescent="0.25">
      <c r="A96" s="85">
        <v>21</v>
      </c>
      <c r="B96" s="185" t="s">
        <v>135</v>
      </c>
      <c r="C96" s="58" t="s">
        <v>136</v>
      </c>
      <c r="D96" s="70" t="s">
        <v>335</v>
      </c>
      <c r="E96" s="96">
        <v>343</v>
      </c>
      <c r="F96" s="96">
        <v>343</v>
      </c>
      <c r="G96" s="87">
        <v>0</v>
      </c>
      <c r="H96" s="110">
        <v>3000</v>
      </c>
      <c r="I96" s="177">
        <v>3000</v>
      </c>
      <c r="J96" s="178">
        <v>6000</v>
      </c>
      <c r="K96" s="165">
        <v>6000</v>
      </c>
      <c r="L96" s="1" t="s">
        <v>434</v>
      </c>
      <c r="M96" s="276">
        <v>0</v>
      </c>
    </row>
    <row r="97" spans="1:13" x14ac:dyDescent="0.25">
      <c r="A97" s="85">
        <v>22</v>
      </c>
      <c r="B97" s="185" t="s">
        <v>137</v>
      </c>
      <c r="C97" s="58" t="s">
        <v>138</v>
      </c>
      <c r="D97" s="70" t="s">
        <v>335</v>
      </c>
      <c r="E97" s="96">
        <v>2310</v>
      </c>
      <c r="F97" s="96">
        <v>2320</v>
      </c>
      <c r="G97" s="87">
        <v>10</v>
      </c>
      <c r="H97" s="110">
        <v>20540</v>
      </c>
      <c r="I97" s="177">
        <v>10000</v>
      </c>
      <c r="J97" s="178">
        <v>30540</v>
      </c>
      <c r="K97" s="165"/>
      <c r="L97" s="1"/>
      <c r="M97" s="276">
        <v>43880</v>
      </c>
    </row>
    <row r="98" spans="1:13" x14ac:dyDescent="0.25">
      <c r="A98" s="85">
        <v>23</v>
      </c>
      <c r="B98" s="185" t="s">
        <v>139</v>
      </c>
      <c r="C98" s="58" t="s">
        <v>140</v>
      </c>
      <c r="D98" s="70" t="s">
        <v>335</v>
      </c>
      <c r="E98" s="96">
        <v>1</v>
      </c>
      <c r="F98" s="96">
        <v>1</v>
      </c>
      <c r="G98" s="87">
        <v>0</v>
      </c>
      <c r="H98" s="110">
        <v>3000</v>
      </c>
      <c r="I98" s="177">
        <v>3000</v>
      </c>
      <c r="J98" s="178">
        <v>6000</v>
      </c>
      <c r="K98" s="165"/>
      <c r="L98" s="1"/>
      <c r="M98" s="276">
        <v>17200</v>
      </c>
    </row>
    <row r="99" spans="1:13" x14ac:dyDescent="0.25">
      <c r="A99" s="85">
        <v>24</v>
      </c>
      <c r="B99" s="185" t="s">
        <v>141</v>
      </c>
      <c r="C99" s="58" t="s">
        <v>142</v>
      </c>
      <c r="D99" s="70" t="s">
        <v>335</v>
      </c>
      <c r="E99" s="96">
        <v>148</v>
      </c>
      <c r="F99" s="96">
        <v>148</v>
      </c>
      <c r="G99" s="87">
        <v>0</v>
      </c>
      <c r="H99" s="110">
        <v>3700</v>
      </c>
      <c r="I99" s="177">
        <v>3000</v>
      </c>
      <c r="J99" s="178">
        <v>6700</v>
      </c>
      <c r="K99" s="165"/>
      <c r="L99" s="1"/>
      <c r="M99" s="276">
        <v>6700</v>
      </c>
    </row>
    <row r="100" spans="1:13" x14ac:dyDescent="0.25">
      <c r="A100" s="85">
        <v>25</v>
      </c>
      <c r="B100" s="185" t="s">
        <v>143</v>
      </c>
      <c r="C100" s="58" t="s">
        <v>144</v>
      </c>
      <c r="D100" s="70" t="s">
        <v>335</v>
      </c>
      <c r="E100" s="96">
        <v>0</v>
      </c>
      <c r="F100" s="96">
        <v>0</v>
      </c>
      <c r="G100" s="87">
        <v>0</v>
      </c>
      <c r="H100" s="110">
        <v>0</v>
      </c>
      <c r="I100" s="177">
        <v>3000</v>
      </c>
      <c r="J100" s="178">
        <v>3000</v>
      </c>
      <c r="K100" s="177">
        <v>3000</v>
      </c>
      <c r="L100" s="1" t="s">
        <v>435</v>
      </c>
      <c r="M100" s="276">
        <v>0</v>
      </c>
    </row>
    <row r="101" spans="1:13" x14ac:dyDescent="0.25">
      <c r="A101" s="159">
        <v>26</v>
      </c>
      <c r="B101" s="184" t="s">
        <v>145</v>
      </c>
      <c r="C101" s="153" t="s">
        <v>146</v>
      </c>
      <c r="D101" s="154" t="s">
        <v>335</v>
      </c>
      <c r="E101" s="155">
        <v>2319</v>
      </c>
      <c r="F101" s="155">
        <v>2339</v>
      </c>
      <c r="G101" s="156">
        <v>20</v>
      </c>
      <c r="H101" s="157">
        <v>0</v>
      </c>
      <c r="I101" s="164">
        <v>12000</v>
      </c>
      <c r="J101" s="176">
        <v>12000</v>
      </c>
      <c r="K101" s="164">
        <v>12000</v>
      </c>
      <c r="L101" s="160" t="s">
        <v>435</v>
      </c>
      <c r="M101" s="271">
        <v>0</v>
      </c>
    </row>
    <row r="102" spans="1:13" x14ac:dyDescent="0.25">
      <c r="A102" s="159">
        <v>27</v>
      </c>
      <c r="B102" s="184" t="s">
        <v>147</v>
      </c>
      <c r="C102" s="153" t="s">
        <v>148</v>
      </c>
      <c r="D102" s="154" t="s">
        <v>335</v>
      </c>
      <c r="E102" s="155">
        <v>2173</v>
      </c>
      <c r="F102" s="155">
        <v>2184</v>
      </c>
      <c r="G102" s="156">
        <v>11</v>
      </c>
      <c r="H102" s="157">
        <v>0</v>
      </c>
      <c r="I102" s="164">
        <v>5350</v>
      </c>
      <c r="J102" s="176">
        <v>5350</v>
      </c>
      <c r="K102" s="164">
        <v>5350</v>
      </c>
      <c r="L102" s="160" t="s">
        <v>435</v>
      </c>
      <c r="M102" s="271">
        <v>0</v>
      </c>
    </row>
    <row r="103" spans="1:13" x14ac:dyDescent="0.25">
      <c r="A103" s="85">
        <v>28</v>
      </c>
      <c r="B103" s="185" t="s">
        <v>149</v>
      </c>
      <c r="C103" s="58" t="s">
        <v>150</v>
      </c>
      <c r="D103" s="70" t="s">
        <v>335</v>
      </c>
      <c r="E103" s="96">
        <v>91</v>
      </c>
      <c r="F103" s="96">
        <v>92</v>
      </c>
      <c r="G103" s="87">
        <v>1</v>
      </c>
      <c r="H103" s="110">
        <v>0</v>
      </c>
      <c r="I103" s="177">
        <v>3700</v>
      </c>
      <c r="J103" s="178">
        <v>3700</v>
      </c>
      <c r="K103" s="165"/>
      <c r="L103" s="1"/>
      <c r="M103" s="276">
        <v>3700</v>
      </c>
    </row>
    <row r="104" spans="1:13" x14ac:dyDescent="0.25">
      <c r="A104" s="85">
        <v>29</v>
      </c>
      <c r="B104" s="185" t="s">
        <v>151</v>
      </c>
      <c r="C104" s="58" t="s">
        <v>152</v>
      </c>
      <c r="D104" s="70" t="s">
        <v>335</v>
      </c>
      <c r="E104" s="96">
        <v>863</v>
      </c>
      <c r="F104" s="96">
        <v>866</v>
      </c>
      <c r="G104" s="87">
        <v>3</v>
      </c>
      <c r="H104" s="110">
        <v>10200</v>
      </c>
      <c r="I104" s="177">
        <v>5100</v>
      </c>
      <c r="J104" s="178">
        <v>15300</v>
      </c>
      <c r="K104" s="177">
        <v>10200</v>
      </c>
      <c r="L104" s="1" t="s">
        <v>435</v>
      </c>
      <c r="M104" s="276">
        <v>5100</v>
      </c>
    </row>
    <row r="105" spans="1:13" x14ac:dyDescent="0.25">
      <c r="A105" s="85">
        <v>30</v>
      </c>
      <c r="B105" s="185" t="s">
        <v>153</v>
      </c>
      <c r="C105" s="58" t="s">
        <v>154</v>
      </c>
      <c r="D105" s="70" t="s">
        <v>335</v>
      </c>
      <c r="E105" s="96">
        <v>225</v>
      </c>
      <c r="F105" s="96">
        <v>227</v>
      </c>
      <c r="G105" s="87">
        <v>2</v>
      </c>
      <c r="H105" s="110">
        <v>0</v>
      </c>
      <c r="I105" s="190">
        <v>4400</v>
      </c>
      <c r="J105" s="178">
        <v>4400</v>
      </c>
      <c r="K105" s="165"/>
      <c r="L105" s="1"/>
      <c r="M105" s="276">
        <v>4400</v>
      </c>
    </row>
    <row r="106" spans="1:13" x14ac:dyDescent="0.25">
      <c r="A106" s="85">
        <v>31</v>
      </c>
      <c r="B106" s="185" t="s">
        <v>155</v>
      </c>
      <c r="C106" s="58" t="s">
        <v>156</v>
      </c>
      <c r="D106" s="70" t="s">
        <v>335</v>
      </c>
      <c r="E106" s="96">
        <v>2318</v>
      </c>
      <c r="F106" s="96">
        <v>2320</v>
      </c>
      <c r="G106" s="87">
        <v>2</v>
      </c>
      <c r="H106" s="110">
        <v>0</v>
      </c>
      <c r="I106" s="177">
        <v>4400</v>
      </c>
      <c r="J106" s="178">
        <v>4400</v>
      </c>
      <c r="K106" s="165"/>
      <c r="L106" s="1"/>
      <c r="M106" s="276">
        <v>4400</v>
      </c>
    </row>
    <row r="107" spans="1:13" x14ac:dyDescent="0.25">
      <c r="A107" s="85">
        <v>32</v>
      </c>
      <c r="B107" s="185" t="s">
        <v>157</v>
      </c>
      <c r="C107" s="58" t="s">
        <v>158</v>
      </c>
      <c r="D107" s="70" t="s">
        <v>335</v>
      </c>
      <c r="E107" s="96">
        <v>1155</v>
      </c>
      <c r="F107" s="96">
        <v>1163</v>
      </c>
      <c r="G107" s="87">
        <v>8</v>
      </c>
      <c r="H107" s="110">
        <v>0</v>
      </c>
      <c r="I107" s="177">
        <v>8600</v>
      </c>
      <c r="J107" s="178">
        <v>8600</v>
      </c>
      <c r="K107" s="165"/>
      <c r="L107" s="1"/>
      <c r="M107" s="276">
        <v>8600</v>
      </c>
    </row>
    <row r="108" spans="1:13" x14ac:dyDescent="0.25">
      <c r="A108" s="85">
        <v>33</v>
      </c>
      <c r="B108" s="185" t="s">
        <v>159</v>
      </c>
      <c r="C108" s="58" t="s">
        <v>160</v>
      </c>
      <c r="D108" s="70" t="s">
        <v>335</v>
      </c>
      <c r="E108" s="96">
        <v>1370</v>
      </c>
      <c r="F108" s="96">
        <v>1380</v>
      </c>
      <c r="G108" s="87">
        <v>10</v>
      </c>
      <c r="H108" s="110">
        <v>0</v>
      </c>
      <c r="I108" s="177">
        <v>10000</v>
      </c>
      <c r="J108" s="178">
        <v>10000</v>
      </c>
      <c r="K108" s="165"/>
      <c r="L108" s="1"/>
      <c r="M108" s="276">
        <v>10000</v>
      </c>
    </row>
    <row r="109" spans="1:13" x14ac:dyDescent="0.25">
      <c r="A109" s="85">
        <v>34</v>
      </c>
      <c r="B109" s="185" t="s">
        <v>161</v>
      </c>
      <c r="C109" s="58" t="s">
        <v>162</v>
      </c>
      <c r="D109" s="70" t="s">
        <v>335</v>
      </c>
      <c r="E109" s="96">
        <v>1263</v>
      </c>
      <c r="F109" s="96">
        <v>1266</v>
      </c>
      <c r="G109" s="87">
        <v>3</v>
      </c>
      <c r="H109" s="110">
        <v>0</v>
      </c>
      <c r="I109" s="177">
        <v>5100</v>
      </c>
      <c r="J109" s="178">
        <v>5100</v>
      </c>
      <c r="K109" s="165"/>
      <c r="L109" s="1"/>
      <c r="M109" s="276">
        <v>5100</v>
      </c>
    </row>
    <row r="110" spans="1:13" x14ac:dyDescent="0.25">
      <c r="A110" s="159">
        <v>35</v>
      </c>
      <c r="B110" s="184" t="s">
        <v>163</v>
      </c>
      <c r="C110" s="153" t="s">
        <v>164</v>
      </c>
      <c r="D110" s="154" t="s">
        <v>335</v>
      </c>
      <c r="E110" s="155">
        <v>2477</v>
      </c>
      <c r="F110" s="155">
        <v>2485</v>
      </c>
      <c r="G110" s="156">
        <v>8</v>
      </c>
      <c r="H110" s="126">
        <v>0</v>
      </c>
      <c r="I110" s="164">
        <v>4300</v>
      </c>
      <c r="J110" s="176">
        <v>24298</v>
      </c>
      <c r="K110" s="164">
        <v>24298</v>
      </c>
      <c r="L110" s="160" t="s">
        <v>434</v>
      </c>
      <c r="M110" s="271">
        <v>19998</v>
      </c>
    </row>
    <row r="111" spans="1:13" x14ac:dyDescent="0.25">
      <c r="A111" s="85">
        <v>36</v>
      </c>
      <c r="B111" s="185" t="s">
        <v>165</v>
      </c>
      <c r="C111" s="58" t="s">
        <v>166</v>
      </c>
      <c r="D111" s="70" t="s">
        <v>335</v>
      </c>
      <c r="E111" s="96">
        <v>1122</v>
      </c>
      <c r="F111" s="96">
        <v>1128</v>
      </c>
      <c r="G111" s="87">
        <v>6</v>
      </c>
      <c r="H111" s="110">
        <v>0</v>
      </c>
      <c r="I111" s="177">
        <v>7200</v>
      </c>
      <c r="J111" s="178">
        <v>7200</v>
      </c>
      <c r="K111" s="177">
        <v>7200</v>
      </c>
      <c r="L111" s="1" t="s">
        <v>424</v>
      </c>
      <c r="M111" s="276">
        <v>0</v>
      </c>
    </row>
    <row r="112" spans="1:13" x14ac:dyDescent="0.25">
      <c r="A112" s="85">
        <v>37</v>
      </c>
      <c r="B112" s="185" t="s">
        <v>167</v>
      </c>
      <c r="C112" s="58" t="s">
        <v>168</v>
      </c>
      <c r="D112" s="70" t="s">
        <v>335</v>
      </c>
      <c r="E112" s="96">
        <v>103</v>
      </c>
      <c r="F112" s="96">
        <v>103</v>
      </c>
      <c r="G112" s="87">
        <v>0</v>
      </c>
      <c r="H112" s="110">
        <v>0</v>
      </c>
      <c r="I112" s="177">
        <v>3000</v>
      </c>
      <c r="J112" s="178">
        <v>3000</v>
      </c>
      <c r="K112" s="165"/>
      <c r="L112" s="1"/>
      <c r="M112" s="276">
        <v>3000</v>
      </c>
    </row>
    <row r="113" spans="1:13" x14ac:dyDescent="0.25">
      <c r="A113" s="85">
        <v>38</v>
      </c>
      <c r="B113" s="185" t="s">
        <v>169</v>
      </c>
      <c r="C113" s="58" t="s">
        <v>170</v>
      </c>
      <c r="D113" s="70" t="s">
        <v>335</v>
      </c>
      <c r="E113" s="96">
        <v>2668</v>
      </c>
      <c r="F113" s="96">
        <v>2695</v>
      </c>
      <c r="G113" s="87">
        <v>27</v>
      </c>
      <c r="H113" s="110">
        <v>16650</v>
      </c>
      <c r="I113" s="177">
        <v>26100</v>
      </c>
      <c r="J113" s="178">
        <v>52570</v>
      </c>
      <c r="K113" s="165"/>
      <c r="L113" s="1"/>
      <c r="M113" s="276">
        <v>62390</v>
      </c>
    </row>
    <row r="114" spans="1:13" x14ac:dyDescent="0.25">
      <c r="A114" s="159">
        <v>39</v>
      </c>
      <c r="B114" s="184" t="s">
        <v>171</v>
      </c>
      <c r="C114" s="153" t="s">
        <v>172</v>
      </c>
      <c r="D114" s="154" t="s">
        <v>335</v>
      </c>
      <c r="E114" s="155">
        <v>4289</v>
      </c>
      <c r="F114" s="155">
        <v>4340</v>
      </c>
      <c r="G114" s="156">
        <v>51</v>
      </c>
      <c r="H114" s="157">
        <v>0</v>
      </c>
      <c r="I114" s="164">
        <v>51900</v>
      </c>
      <c r="J114" s="176">
        <v>51900</v>
      </c>
      <c r="K114" s="160"/>
      <c r="L114" s="160"/>
      <c r="M114" s="271">
        <v>51900</v>
      </c>
    </row>
    <row r="115" spans="1:13" x14ac:dyDescent="0.25">
      <c r="A115" s="85">
        <v>40</v>
      </c>
      <c r="B115" s="185" t="s">
        <v>371</v>
      </c>
      <c r="C115" s="58" t="s">
        <v>174</v>
      </c>
      <c r="D115" s="70" t="s">
        <v>335</v>
      </c>
      <c r="E115" s="96">
        <v>4410</v>
      </c>
      <c r="F115" s="96">
        <v>4461</v>
      </c>
      <c r="G115" s="87">
        <v>51</v>
      </c>
      <c r="H115" s="110">
        <v>0</v>
      </c>
      <c r="I115" s="177">
        <v>58650</v>
      </c>
      <c r="J115" s="178">
        <v>58650</v>
      </c>
      <c r="K115" s="177">
        <v>58650</v>
      </c>
      <c r="L115" s="1" t="s">
        <v>434</v>
      </c>
      <c r="M115" s="276">
        <v>0</v>
      </c>
    </row>
    <row r="116" spans="1:13" x14ac:dyDescent="0.25">
      <c r="A116" s="85">
        <v>41</v>
      </c>
      <c r="B116" s="185" t="s">
        <v>175</v>
      </c>
      <c r="C116" s="58" t="s">
        <v>176</v>
      </c>
      <c r="D116" s="70" t="s">
        <v>335</v>
      </c>
      <c r="E116" s="96">
        <v>1094</v>
      </c>
      <c r="F116" s="96">
        <v>1115</v>
      </c>
      <c r="G116" s="87">
        <v>21</v>
      </c>
      <c r="H116" s="110">
        <v>103800</v>
      </c>
      <c r="I116" s="177">
        <v>19800</v>
      </c>
      <c r="J116" s="178">
        <v>123600</v>
      </c>
      <c r="K116" s="177">
        <v>103800</v>
      </c>
      <c r="L116" s="1" t="s">
        <v>435</v>
      </c>
      <c r="M116" s="276">
        <v>19800</v>
      </c>
    </row>
    <row r="117" spans="1:13" x14ac:dyDescent="0.25">
      <c r="A117" s="85">
        <v>42</v>
      </c>
      <c r="B117" s="185" t="s">
        <v>177</v>
      </c>
      <c r="C117" s="58" t="s">
        <v>178</v>
      </c>
      <c r="D117" s="70" t="s">
        <v>335</v>
      </c>
      <c r="E117" s="96">
        <v>88</v>
      </c>
      <c r="F117" s="96">
        <v>89</v>
      </c>
      <c r="G117" s="87">
        <v>1</v>
      </c>
      <c r="H117" s="110">
        <v>3000</v>
      </c>
      <c r="I117" s="177">
        <v>3700</v>
      </c>
      <c r="J117" s="178">
        <v>6700</v>
      </c>
      <c r="K117" s="177">
        <v>6700</v>
      </c>
      <c r="L117" s="1" t="s">
        <v>435</v>
      </c>
      <c r="M117" s="276">
        <v>0</v>
      </c>
    </row>
    <row r="118" spans="1:13" x14ac:dyDescent="0.25">
      <c r="A118" s="118">
        <v>43</v>
      </c>
      <c r="B118" s="186" t="s">
        <v>179</v>
      </c>
      <c r="C118" s="137" t="s">
        <v>180</v>
      </c>
      <c r="D118" s="117" t="s">
        <v>335</v>
      </c>
      <c r="E118" s="96">
        <v>1895</v>
      </c>
      <c r="F118" s="96">
        <v>1914</v>
      </c>
      <c r="G118" s="87">
        <v>19</v>
      </c>
      <c r="H118" s="110">
        <v>0</v>
      </c>
      <c r="I118" s="177">
        <v>17700</v>
      </c>
      <c r="J118" s="178">
        <v>17700</v>
      </c>
      <c r="K118" s="177">
        <v>17700</v>
      </c>
      <c r="L118" s="1" t="s">
        <v>435</v>
      </c>
      <c r="M118" s="276">
        <v>0</v>
      </c>
    </row>
    <row r="119" spans="1:13" x14ac:dyDescent="0.25">
      <c r="A119" s="85">
        <v>44</v>
      </c>
      <c r="B119" s="185" t="s">
        <v>181</v>
      </c>
      <c r="C119" s="58" t="s">
        <v>182</v>
      </c>
      <c r="D119" s="70" t="s">
        <v>335</v>
      </c>
      <c r="E119" s="96">
        <v>1745</v>
      </c>
      <c r="F119" s="96">
        <v>1765</v>
      </c>
      <c r="G119" s="87">
        <v>20</v>
      </c>
      <c r="H119" s="110">
        <v>26100</v>
      </c>
      <c r="I119" s="177">
        <v>18750</v>
      </c>
      <c r="J119" s="178">
        <v>44850</v>
      </c>
      <c r="K119" s="177">
        <v>44850</v>
      </c>
      <c r="L119" s="1" t="s">
        <v>435</v>
      </c>
      <c r="M119" s="276">
        <v>0</v>
      </c>
    </row>
    <row r="120" spans="1:13" x14ac:dyDescent="0.25">
      <c r="A120" s="85">
        <v>45</v>
      </c>
      <c r="B120" s="185" t="s">
        <v>183</v>
      </c>
      <c r="C120" s="58" t="s">
        <v>184</v>
      </c>
      <c r="D120" s="70" t="s">
        <v>335</v>
      </c>
      <c r="E120" s="96">
        <v>300</v>
      </c>
      <c r="F120" s="96">
        <v>310</v>
      </c>
      <c r="G120" s="87">
        <v>10</v>
      </c>
      <c r="H120" s="110">
        <v>0</v>
      </c>
      <c r="I120" s="177">
        <v>10000</v>
      </c>
      <c r="J120" s="178">
        <v>10000</v>
      </c>
      <c r="K120" s="177">
        <v>10000</v>
      </c>
      <c r="L120" s="1" t="s">
        <v>435</v>
      </c>
      <c r="M120" s="276">
        <v>0</v>
      </c>
    </row>
    <row r="121" spans="1:13" x14ac:dyDescent="0.25">
      <c r="A121" s="85">
        <v>46</v>
      </c>
      <c r="B121" s="185" t="s">
        <v>185</v>
      </c>
      <c r="C121" s="58" t="s">
        <v>186</v>
      </c>
      <c r="D121" s="70" t="s">
        <v>335</v>
      </c>
      <c r="E121" s="96">
        <v>2365</v>
      </c>
      <c r="F121" s="96">
        <v>2370</v>
      </c>
      <c r="G121" s="87">
        <v>5</v>
      </c>
      <c r="H121" s="110">
        <v>14000</v>
      </c>
      <c r="I121" s="177">
        <v>6500</v>
      </c>
      <c r="J121" s="178">
        <v>20500</v>
      </c>
      <c r="K121" s="165"/>
      <c r="L121" s="1"/>
      <c r="M121" s="276">
        <v>20500</v>
      </c>
    </row>
    <row r="122" spans="1:13" x14ac:dyDescent="0.25">
      <c r="A122" s="85">
        <v>47</v>
      </c>
      <c r="B122" s="185" t="s">
        <v>187</v>
      </c>
      <c r="C122" s="58" t="s">
        <v>188</v>
      </c>
      <c r="D122" s="70" t="s">
        <v>335</v>
      </c>
      <c r="E122" s="96">
        <v>3561</v>
      </c>
      <c r="F122" s="96">
        <v>3575</v>
      </c>
      <c r="G122" s="87">
        <v>14</v>
      </c>
      <c r="H122" s="110">
        <v>7590</v>
      </c>
      <c r="I122" s="177">
        <v>12800</v>
      </c>
      <c r="J122" s="178">
        <v>20390</v>
      </c>
      <c r="K122" s="177">
        <v>20390</v>
      </c>
      <c r="L122" s="1" t="s">
        <v>435</v>
      </c>
      <c r="M122" s="329">
        <v>7590</v>
      </c>
    </row>
    <row r="123" spans="1:13" x14ac:dyDescent="0.25">
      <c r="A123" s="85">
        <v>48</v>
      </c>
      <c r="B123" s="185" t="s">
        <v>189</v>
      </c>
      <c r="C123" s="58" t="s">
        <v>190</v>
      </c>
      <c r="D123" s="70" t="s">
        <v>335</v>
      </c>
      <c r="E123" s="96">
        <v>18</v>
      </c>
      <c r="F123" s="96">
        <v>18</v>
      </c>
      <c r="G123" s="87">
        <v>0</v>
      </c>
      <c r="H123" s="110">
        <v>9700</v>
      </c>
      <c r="I123" s="177">
        <v>3000</v>
      </c>
      <c r="J123" s="178">
        <v>12700</v>
      </c>
      <c r="K123" s="177">
        <v>10000</v>
      </c>
      <c r="L123" s="1" t="s">
        <v>424</v>
      </c>
      <c r="M123" s="276">
        <v>2700</v>
      </c>
    </row>
    <row r="124" spans="1:13" x14ac:dyDescent="0.25">
      <c r="A124" s="159">
        <v>49</v>
      </c>
      <c r="B124" s="184" t="s">
        <v>191</v>
      </c>
      <c r="C124" s="153" t="s">
        <v>192</v>
      </c>
      <c r="D124" s="154" t="s">
        <v>335</v>
      </c>
      <c r="E124" s="155">
        <v>2600</v>
      </c>
      <c r="F124" s="155">
        <v>2611</v>
      </c>
      <c r="G124" s="156">
        <v>11</v>
      </c>
      <c r="H124" s="157">
        <v>0</v>
      </c>
      <c r="I124" s="164">
        <v>5350</v>
      </c>
      <c r="J124" s="176">
        <v>17150</v>
      </c>
      <c r="K124" s="164">
        <v>17150</v>
      </c>
      <c r="L124" s="160" t="s">
        <v>434</v>
      </c>
      <c r="M124" s="311">
        <v>11800</v>
      </c>
    </row>
    <row r="125" spans="1:13" x14ac:dyDescent="0.25">
      <c r="A125" s="85">
        <v>50</v>
      </c>
      <c r="B125" s="185" t="s">
        <v>193</v>
      </c>
      <c r="C125" s="58" t="s">
        <v>194</v>
      </c>
      <c r="D125" s="70" t="s">
        <v>335</v>
      </c>
      <c r="E125" s="96">
        <v>3251</v>
      </c>
      <c r="F125" s="96">
        <v>3260</v>
      </c>
      <c r="G125" s="87">
        <v>9</v>
      </c>
      <c r="H125" s="110">
        <v>0</v>
      </c>
      <c r="I125" s="177">
        <v>9300</v>
      </c>
      <c r="J125" s="178">
        <v>9300</v>
      </c>
      <c r="K125" s="165"/>
      <c r="L125" s="1"/>
      <c r="M125" s="276">
        <v>9300</v>
      </c>
    </row>
    <row r="126" spans="1:13" x14ac:dyDescent="0.25">
      <c r="A126" s="159">
        <v>51</v>
      </c>
      <c r="B126" s="184" t="s">
        <v>195</v>
      </c>
      <c r="C126" s="153" t="s">
        <v>196</v>
      </c>
      <c r="D126" s="154" t="s">
        <v>335</v>
      </c>
      <c r="E126" s="155">
        <v>2613</v>
      </c>
      <c r="F126" s="155">
        <v>2620</v>
      </c>
      <c r="G126" s="156">
        <v>7</v>
      </c>
      <c r="H126" s="157">
        <v>0</v>
      </c>
      <c r="I126" s="164">
        <v>3950</v>
      </c>
      <c r="J126" s="176">
        <v>3950</v>
      </c>
      <c r="K126" s="164">
        <v>3950</v>
      </c>
      <c r="L126" s="160" t="s">
        <v>434</v>
      </c>
      <c r="M126" s="271">
        <v>0</v>
      </c>
    </row>
    <row r="127" spans="1:13" x14ac:dyDescent="0.25">
      <c r="A127" s="213">
        <v>52</v>
      </c>
      <c r="B127" s="179" t="s">
        <v>361</v>
      </c>
      <c r="C127" s="180" t="s">
        <v>198</v>
      </c>
      <c r="D127" s="181" t="s">
        <v>335</v>
      </c>
      <c r="E127" s="182">
        <v>1220</v>
      </c>
      <c r="F127" s="182">
        <v>1533</v>
      </c>
      <c r="G127" s="87">
        <v>10</v>
      </c>
      <c r="H127" s="110">
        <v>22800</v>
      </c>
      <c r="I127" s="177">
        <v>10000</v>
      </c>
      <c r="J127" s="178">
        <v>32800</v>
      </c>
      <c r="K127" s="165"/>
      <c r="L127" s="1"/>
      <c r="M127" s="276">
        <v>32800</v>
      </c>
    </row>
    <row r="128" spans="1:13" x14ac:dyDescent="0.25">
      <c r="A128" s="85">
        <v>53</v>
      </c>
      <c r="B128" s="185" t="s">
        <v>199</v>
      </c>
      <c r="C128" s="58" t="s">
        <v>200</v>
      </c>
      <c r="D128" s="70" t="s">
        <v>335</v>
      </c>
      <c r="E128" s="96">
        <v>1393</v>
      </c>
      <c r="F128" s="96">
        <v>1393</v>
      </c>
      <c r="G128" s="87">
        <v>0</v>
      </c>
      <c r="H128" s="110">
        <v>0</v>
      </c>
      <c r="I128" s="177">
        <v>3000</v>
      </c>
      <c r="J128" s="178">
        <v>3000</v>
      </c>
      <c r="K128" s="165"/>
      <c r="L128" s="1"/>
      <c r="M128" s="276">
        <v>3000</v>
      </c>
    </row>
    <row r="129" spans="1:14" x14ac:dyDescent="0.25">
      <c r="A129" s="85">
        <v>54</v>
      </c>
      <c r="B129" s="185" t="s">
        <v>201</v>
      </c>
      <c r="C129" s="58" t="s">
        <v>202</v>
      </c>
      <c r="D129" s="70" t="s">
        <v>335</v>
      </c>
      <c r="E129" s="96">
        <v>559</v>
      </c>
      <c r="F129" s="96">
        <v>559</v>
      </c>
      <c r="G129" s="87">
        <v>0</v>
      </c>
      <c r="H129" s="110">
        <v>4400</v>
      </c>
      <c r="I129" s="177">
        <v>3000</v>
      </c>
      <c r="J129" s="178">
        <v>7400</v>
      </c>
      <c r="K129" s="165"/>
      <c r="L129" s="1"/>
      <c r="M129" s="276">
        <v>7400</v>
      </c>
    </row>
    <row r="130" spans="1:14" x14ac:dyDescent="0.25">
      <c r="A130" s="85">
        <v>55</v>
      </c>
      <c r="B130" s="185" t="s">
        <v>203</v>
      </c>
      <c r="C130" s="58" t="s">
        <v>204</v>
      </c>
      <c r="D130" s="70" t="s">
        <v>335</v>
      </c>
      <c r="E130" s="96">
        <v>2719</v>
      </c>
      <c r="F130" s="96">
        <v>2720</v>
      </c>
      <c r="G130" s="87">
        <v>1</v>
      </c>
      <c r="H130" s="110">
        <v>7200</v>
      </c>
      <c r="I130" s="177">
        <v>3700</v>
      </c>
      <c r="J130" s="178">
        <v>10900</v>
      </c>
      <c r="K130" s="177">
        <v>10900</v>
      </c>
      <c r="L130" s="1" t="s">
        <v>435</v>
      </c>
      <c r="M130" s="276">
        <v>0</v>
      </c>
    </row>
    <row r="131" spans="1:14" x14ac:dyDescent="0.25">
      <c r="A131" s="85">
        <v>56</v>
      </c>
      <c r="B131" s="185" t="s">
        <v>205</v>
      </c>
      <c r="C131" s="58" t="s">
        <v>206</v>
      </c>
      <c r="D131" s="70" t="s">
        <v>335</v>
      </c>
      <c r="E131" s="96">
        <v>1017</v>
      </c>
      <c r="F131" s="96">
        <v>1023</v>
      </c>
      <c r="G131" s="87">
        <v>6</v>
      </c>
      <c r="H131" s="110">
        <v>21300</v>
      </c>
      <c r="I131" s="177">
        <v>7200</v>
      </c>
      <c r="J131" s="178">
        <v>28500</v>
      </c>
      <c r="K131" s="177">
        <v>28500</v>
      </c>
      <c r="L131" s="1" t="s">
        <v>435</v>
      </c>
      <c r="M131" s="276">
        <v>0</v>
      </c>
    </row>
    <row r="132" spans="1:14" x14ac:dyDescent="0.25">
      <c r="A132" s="85">
        <v>57</v>
      </c>
      <c r="B132" s="185" t="s">
        <v>207</v>
      </c>
      <c r="C132" s="58" t="s">
        <v>208</v>
      </c>
      <c r="D132" s="70" t="s">
        <v>335</v>
      </c>
      <c r="E132" s="96">
        <v>182</v>
      </c>
      <c r="F132" s="96">
        <v>185</v>
      </c>
      <c r="G132" s="87">
        <v>3</v>
      </c>
      <c r="H132" s="110">
        <v>11800</v>
      </c>
      <c r="I132" s="177">
        <v>5100</v>
      </c>
      <c r="J132" s="178">
        <v>16900</v>
      </c>
      <c r="K132" s="187">
        <v>16900</v>
      </c>
      <c r="L132" s="1" t="s">
        <v>424</v>
      </c>
      <c r="M132" s="276">
        <v>0</v>
      </c>
    </row>
    <row r="133" spans="1:14" x14ac:dyDescent="0.25">
      <c r="A133" s="85">
        <v>58</v>
      </c>
      <c r="B133" s="185" t="s">
        <v>209</v>
      </c>
      <c r="C133" s="58" t="s">
        <v>210</v>
      </c>
      <c r="D133" s="70" t="s">
        <v>335</v>
      </c>
      <c r="E133" s="96">
        <v>91</v>
      </c>
      <c r="F133" s="96">
        <v>91</v>
      </c>
      <c r="G133" s="87">
        <v>0</v>
      </c>
      <c r="H133" s="110">
        <v>0</v>
      </c>
      <c r="I133" s="177">
        <v>3000</v>
      </c>
      <c r="J133" s="178">
        <v>3000</v>
      </c>
      <c r="K133" s="165"/>
      <c r="L133" s="1"/>
      <c r="M133" s="276">
        <v>3000</v>
      </c>
    </row>
    <row r="134" spans="1:14" x14ac:dyDescent="0.25">
      <c r="A134" s="85">
        <v>59</v>
      </c>
      <c r="B134" s="185" t="s">
        <v>211</v>
      </c>
      <c r="C134" s="58" t="s">
        <v>212</v>
      </c>
      <c r="D134" s="70" t="s">
        <v>335</v>
      </c>
      <c r="E134" s="96">
        <v>2006</v>
      </c>
      <c r="F134" s="96">
        <v>2015</v>
      </c>
      <c r="G134" s="87">
        <v>9</v>
      </c>
      <c r="H134" s="110">
        <v>0</v>
      </c>
      <c r="I134" s="177">
        <v>9300</v>
      </c>
      <c r="J134" s="178">
        <v>9300</v>
      </c>
      <c r="K134" s="177">
        <v>9300</v>
      </c>
      <c r="L134" s="1" t="s">
        <v>435</v>
      </c>
      <c r="M134" s="276">
        <v>0</v>
      </c>
    </row>
    <row r="135" spans="1:14" x14ac:dyDescent="0.25">
      <c r="A135" s="85">
        <v>60</v>
      </c>
      <c r="B135" s="185" t="s">
        <v>218</v>
      </c>
      <c r="C135" s="58" t="s">
        <v>217</v>
      </c>
      <c r="D135" s="70" t="s">
        <v>335</v>
      </c>
      <c r="E135" s="96">
        <v>930</v>
      </c>
      <c r="F135" s="96">
        <v>943</v>
      </c>
      <c r="G135" s="87">
        <v>13</v>
      </c>
      <c r="H135" s="110">
        <v>0</v>
      </c>
      <c r="I135" s="177">
        <v>12100</v>
      </c>
      <c r="J135" s="178">
        <v>12100</v>
      </c>
      <c r="K135" s="165"/>
      <c r="L135" s="1"/>
      <c r="M135" s="276">
        <v>12100</v>
      </c>
    </row>
    <row r="136" spans="1:14" x14ac:dyDescent="0.25">
      <c r="A136" s="85">
        <v>61</v>
      </c>
      <c r="B136" s="285" t="s">
        <v>213</v>
      </c>
      <c r="C136" s="278" t="s">
        <v>214</v>
      </c>
      <c r="D136" s="279" t="s">
        <v>335</v>
      </c>
      <c r="E136" s="280">
        <v>610</v>
      </c>
      <c r="F136" s="280">
        <v>730</v>
      </c>
      <c r="G136" s="281">
        <v>20</v>
      </c>
      <c r="H136" s="282">
        <v>0</v>
      </c>
      <c r="I136" s="286">
        <v>18750</v>
      </c>
      <c r="J136" s="287">
        <v>18750</v>
      </c>
      <c r="K136" s="286">
        <v>7900</v>
      </c>
      <c r="L136" s="288" t="s">
        <v>435</v>
      </c>
      <c r="M136" s="290">
        <v>10850</v>
      </c>
    </row>
    <row r="137" spans="1:14" x14ac:dyDescent="0.25">
      <c r="A137" s="85">
        <v>62</v>
      </c>
      <c r="B137" s="185" t="s">
        <v>215</v>
      </c>
      <c r="C137" s="58" t="s">
        <v>216</v>
      </c>
      <c r="D137" s="70" t="s">
        <v>335</v>
      </c>
      <c r="E137" s="96">
        <v>4128</v>
      </c>
      <c r="F137" s="96">
        <v>4137</v>
      </c>
      <c r="G137" s="87">
        <v>9</v>
      </c>
      <c r="H137" s="110">
        <v>0</v>
      </c>
      <c r="I137" s="177">
        <v>9300</v>
      </c>
      <c r="J137" s="178">
        <v>9300</v>
      </c>
      <c r="K137" s="165"/>
      <c r="L137" s="1"/>
      <c r="M137" s="276">
        <v>9300</v>
      </c>
    </row>
    <row r="138" spans="1:14" x14ac:dyDescent="0.25">
      <c r="A138" s="85">
        <v>63</v>
      </c>
      <c r="B138" s="185" t="s">
        <v>219</v>
      </c>
      <c r="C138" s="58" t="s">
        <v>220</v>
      </c>
      <c r="D138" s="70" t="s">
        <v>335</v>
      </c>
      <c r="E138" s="96">
        <v>313</v>
      </c>
      <c r="F138" s="96">
        <v>313</v>
      </c>
      <c r="G138" s="87">
        <v>0</v>
      </c>
      <c r="H138" s="110">
        <v>56700</v>
      </c>
      <c r="I138" s="177">
        <v>3000</v>
      </c>
      <c r="J138" s="178">
        <v>59700</v>
      </c>
      <c r="K138" s="165"/>
      <c r="L138" s="1"/>
      <c r="M138" s="276">
        <v>59700</v>
      </c>
    </row>
    <row r="139" spans="1:14" x14ac:dyDescent="0.25">
      <c r="A139" s="85">
        <v>64</v>
      </c>
      <c r="B139" s="185" t="s">
        <v>221</v>
      </c>
      <c r="C139" s="58" t="s">
        <v>222</v>
      </c>
      <c r="D139" s="70" t="s">
        <v>335</v>
      </c>
      <c r="E139" s="96">
        <v>1756</v>
      </c>
      <c r="F139" s="96">
        <v>1770</v>
      </c>
      <c r="G139" s="87">
        <v>14</v>
      </c>
      <c r="H139" s="110">
        <v>13500</v>
      </c>
      <c r="I139" s="177">
        <v>12800</v>
      </c>
      <c r="J139" s="178">
        <v>26300</v>
      </c>
      <c r="K139" s="177">
        <v>26300</v>
      </c>
      <c r="L139" s="1" t="s">
        <v>435</v>
      </c>
      <c r="M139" s="276">
        <v>0</v>
      </c>
    </row>
    <row r="140" spans="1:14" x14ac:dyDescent="0.25">
      <c r="A140" s="85">
        <v>65</v>
      </c>
      <c r="B140" s="185" t="s">
        <v>223</v>
      </c>
      <c r="C140" s="58" t="s">
        <v>224</v>
      </c>
      <c r="D140" s="70" t="s">
        <v>335</v>
      </c>
      <c r="E140" s="96">
        <v>2192</v>
      </c>
      <c r="F140" s="96">
        <v>2208</v>
      </c>
      <c r="G140" s="87">
        <v>16</v>
      </c>
      <c r="H140" s="110">
        <v>0</v>
      </c>
      <c r="I140" s="177">
        <v>14550</v>
      </c>
      <c r="J140" s="178">
        <v>14550</v>
      </c>
      <c r="K140" s="177">
        <v>14550</v>
      </c>
      <c r="L140" s="1" t="s">
        <v>435</v>
      </c>
      <c r="M140" s="276">
        <v>0</v>
      </c>
    </row>
    <row r="141" spans="1:14" x14ac:dyDescent="0.25">
      <c r="A141" s="85">
        <v>66</v>
      </c>
      <c r="B141" s="185" t="s">
        <v>225</v>
      </c>
      <c r="C141" s="58" t="s">
        <v>226</v>
      </c>
      <c r="D141" s="70" t="s">
        <v>335</v>
      </c>
      <c r="E141" s="96">
        <v>1372</v>
      </c>
      <c r="F141" s="96">
        <v>1385</v>
      </c>
      <c r="G141" s="87">
        <v>13</v>
      </c>
      <c r="H141" s="110">
        <v>0</v>
      </c>
      <c r="I141" s="177">
        <v>12100</v>
      </c>
      <c r="J141" s="178">
        <v>12100</v>
      </c>
      <c r="K141" s="165"/>
      <c r="L141" s="1"/>
      <c r="M141" s="276">
        <v>12100</v>
      </c>
    </row>
    <row r="142" spans="1:14" x14ac:dyDescent="0.25">
      <c r="A142" s="85">
        <v>67</v>
      </c>
      <c r="B142" s="185" t="s">
        <v>227</v>
      </c>
      <c r="C142" s="58" t="s">
        <v>228</v>
      </c>
      <c r="D142" s="70" t="s">
        <v>335</v>
      </c>
      <c r="E142" s="96"/>
      <c r="F142" s="96"/>
      <c r="G142" s="87"/>
      <c r="H142" s="111"/>
      <c r="I142" s="165"/>
      <c r="J142" s="167"/>
      <c r="K142" s="165"/>
      <c r="L142" s="1"/>
      <c r="M142" s="276"/>
    </row>
    <row r="143" spans="1:14" x14ac:dyDescent="0.25">
      <c r="A143" s="85">
        <v>68</v>
      </c>
      <c r="B143" s="185" t="s">
        <v>229</v>
      </c>
      <c r="C143" s="58" t="s">
        <v>230</v>
      </c>
      <c r="D143" s="70" t="s">
        <v>335</v>
      </c>
      <c r="E143" s="96">
        <v>1458</v>
      </c>
      <c r="F143" s="96">
        <v>1475</v>
      </c>
      <c r="G143" s="87">
        <v>17</v>
      </c>
      <c r="H143" s="110">
        <v>80500</v>
      </c>
      <c r="I143" s="177">
        <v>15600</v>
      </c>
      <c r="J143" s="178">
        <v>96100</v>
      </c>
      <c r="K143" s="177">
        <v>45000</v>
      </c>
      <c r="L143" s="1" t="s">
        <v>434</v>
      </c>
      <c r="M143" s="276">
        <v>51100</v>
      </c>
      <c r="N143" t="s">
        <v>437</v>
      </c>
    </row>
    <row r="144" spans="1:14" x14ac:dyDescent="0.25">
      <c r="A144" s="159">
        <v>69</v>
      </c>
      <c r="B144" s="184" t="s">
        <v>231</v>
      </c>
      <c r="C144" s="153" t="s">
        <v>232</v>
      </c>
      <c r="D144" s="154" t="s">
        <v>335</v>
      </c>
      <c r="E144" s="155">
        <v>4395</v>
      </c>
      <c r="F144" s="155">
        <v>4405</v>
      </c>
      <c r="G144" s="156">
        <v>10</v>
      </c>
      <c r="H144" s="126">
        <v>53090</v>
      </c>
      <c r="I144" s="164">
        <v>5000</v>
      </c>
      <c r="J144" s="176">
        <v>58090</v>
      </c>
      <c r="K144" s="164">
        <v>58090</v>
      </c>
      <c r="L144" s="160" t="s">
        <v>424</v>
      </c>
      <c r="M144" s="271">
        <v>0</v>
      </c>
    </row>
    <row r="145" spans="1:13" x14ac:dyDescent="0.25">
      <c r="A145" s="85">
        <v>70</v>
      </c>
      <c r="B145" s="185" t="s">
        <v>233</v>
      </c>
      <c r="C145" s="58" t="s">
        <v>234</v>
      </c>
      <c r="D145" s="70" t="s">
        <v>335</v>
      </c>
      <c r="E145" s="96">
        <v>4186</v>
      </c>
      <c r="F145" s="96">
        <v>5597</v>
      </c>
      <c r="G145" s="87">
        <v>11</v>
      </c>
      <c r="H145" s="110">
        <v>0</v>
      </c>
      <c r="I145" s="177">
        <v>10700</v>
      </c>
      <c r="J145" s="178">
        <v>10700</v>
      </c>
      <c r="K145" s="177">
        <v>10700</v>
      </c>
      <c r="L145" s="1" t="s">
        <v>435</v>
      </c>
      <c r="M145" s="276">
        <v>26670</v>
      </c>
    </row>
    <row r="146" spans="1:13" x14ac:dyDescent="0.25">
      <c r="A146" s="85">
        <v>71</v>
      </c>
      <c r="B146" s="185" t="s">
        <v>235</v>
      </c>
      <c r="C146" s="58" t="s">
        <v>236</v>
      </c>
      <c r="D146" s="70" t="s">
        <v>335</v>
      </c>
      <c r="E146" s="96">
        <v>1600</v>
      </c>
      <c r="F146" s="96">
        <v>1620</v>
      </c>
      <c r="G146" s="87">
        <v>20</v>
      </c>
      <c r="H146" s="110">
        <v>0</v>
      </c>
      <c r="I146" s="177">
        <v>18750</v>
      </c>
      <c r="J146" s="178">
        <v>18750</v>
      </c>
      <c r="K146" s="177">
        <v>18750</v>
      </c>
      <c r="L146" s="1" t="s">
        <v>434</v>
      </c>
      <c r="M146" s="276">
        <v>0</v>
      </c>
    </row>
    <row r="147" spans="1:13" x14ac:dyDescent="0.25">
      <c r="A147" s="85">
        <v>72</v>
      </c>
      <c r="B147" s="185" t="s">
        <v>237</v>
      </c>
      <c r="C147" s="58" t="s">
        <v>238</v>
      </c>
      <c r="D147" s="70" t="s">
        <v>335</v>
      </c>
      <c r="E147" s="96">
        <v>3381</v>
      </c>
      <c r="F147" s="96">
        <v>3410</v>
      </c>
      <c r="G147" s="87">
        <v>29</v>
      </c>
      <c r="H147" s="110">
        <v>30650</v>
      </c>
      <c r="I147" s="177">
        <v>28200</v>
      </c>
      <c r="J147" s="178">
        <v>58850</v>
      </c>
      <c r="K147" s="177">
        <v>58850</v>
      </c>
      <c r="L147" s="1" t="s">
        <v>434</v>
      </c>
      <c r="M147" s="276">
        <v>0</v>
      </c>
    </row>
    <row r="148" spans="1:13" x14ac:dyDescent="0.25">
      <c r="A148" s="85">
        <v>73</v>
      </c>
      <c r="B148" s="185" t="s">
        <v>420</v>
      </c>
      <c r="C148" s="58" t="s">
        <v>240</v>
      </c>
      <c r="D148" s="70" t="s">
        <v>335</v>
      </c>
      <c r="E148" s="96">
        <v>3038</v>
      </c>
      <c r="F148" s="96">
        <v>3052</v>
      </c>
      <c r="G148" s="87">
        <v>14</v>
      </c>
      <c r="H148" s="110">
        <v>148200</v>
      </c>
      <c r="I148" s="177">
        <v>12800</v>
      </c>
      <c r="J148" s="178">
        <v>161000</v>
      </c>
      <c r="K148" s="177">
        <v>48000</v>
      </c>
      <c r="L148" s="1" t="s">
        <v>434</v>
      </c>
      <c r="M148" s="276">
        <v>113000</v>
      </c>
    </row>
    <row r="149" spans="1:13" x14ac:dyDescent="0.25">
      <c r="A149" s="85">
        <v>74</v>
      </c>
      <c r="B149" s="185" t="s">
        <v>241</v>
      </c>
      <c r="C149" s="58" t="s">
        <v>242</v>
      </c>
      <c r="D149" s="70" t="s">
        <v>335</v>
      </c>
      <c r="E149" s="96">
        <v>4290</v>
      </c>
      <c r="F149" s="96">
        <v>4431</v>
      </c>
      <c r="G149" s="87">
        <v>41</v>
      </c>
      <c r="H149" s="110">
        <v>43250</v>
      </c>
      <c r="I149" s="177">
        <v>44650</v>
      </c>
      <c r="J149" s="178">
        <v>87900</v>
      </c>
      <c r="K149" s="165"/>
      <c r="L149" s="1"/>
      <c r="M149" s="276">
        <v>87900</v>
      </c>
    </row>
    <row r="150" spans="1:13" x14ac:dyDescent="0.25">
      <c r="A150" s="85">
        <v>75</v>
      </c>
      <c r="B150" s="185" t="s">
        <v>243</v>
      </c>
      <c r="C150" s="58" t="s">
        <v>244</v>
      </c>
      <c r="D150" s="70" t="s">
        <v>335</v>
      </c>
      <c r="E150" s="96">
        <v>4162</v>
      </c>
      <c r="F150" s="96">
        <v>4200</v>
      </c>
      <c r="G150" s="87">
        <v>38</v>
      </c>
      <c r="H150" s="110">
        <v>0</v>
      </c>
      <c r="I150" s="177">
        <v>40450</v>
      </c>
      <c r="J150" s="178">
        <v>40450</v>
      </c>
      <c r="K150" s="177">
        <v>40450</v>
      </c>
      <c r="L150" s="1" t="s">
        <v>434</v>
      </c>
      <c r="M150" s="276">
        <v>0</v>
      </c>
    </row>
    <row r="151" spans="1:13" x14ac:dyDescent="0.25">
      <c r="A151" s="85">
        <v>76</v>
      </c>
      <c r="B151" s="185" t="s">
        <v>245</v>
      </c>
      <c r="C151" s="58" t="s">
        <v>246</v>
      </c>
      <c r="D151" s="70" t="s">
        <v>335</v>
      </c>
      <c r="E151" s="96">
        <v>6799</v>
      </c>
      <c r="F151" s="96">
        <v>6835</v>
      </c>
      <c r="G151" s="87">
        <v>36</v>
      </c>
      <c r="H151" s="110">
        <v>0</v>
      </c>
      <c r="I151" s="177">
        <v>37650</v>
      </c>
      <c r="J151" s="178">
        <v>37650</v>
      </c>
      <c r="K151" s="165"/>
      <c r="L151" s="1"/>
      <c r="M151" s="276">
        <v>37650</v>
      </c>
    </row>
    <row r="152" spans="1:13" x14ac:dyDescent="0.25">
      <c r="A152" s="85">
        <v>77</v>
      </c>
      <c r="B152" s="179" t="s">
        <v>247</v>
      </c>
      <c r="C152" s="180" t="s">
        <v>248</v>
      </c>
      <c r="D152" s="181" t="s">
        <v>335</v>
      </c>
      <c r="E152" s="182">
        <v>180</v>
      </c>
      <c r="F152" s="182">
        <v>914</v>
      </c>
      <c r="G152" s="87">
        <v>3</v>
      </c>
      <c r="H152" s="110">
        <v>10200</v>
      </c>
      <c r="I152" s="177">
        <v>5100</v>
      </c>
      <c r="J152" s="178">
        <v>15300</v>
      </c>
      <c r="K152" s="177">
        <v>16000</v>
      </c>
      <c r="L152" s="1" t="s">
        <v>434</v>
      </c>
      <c r="M152" s="309">
        <v>700</v>
      </c>
    </row>
    <row r="153" spans="1:13" x14ac:dyDescent="0.25">
      <c r="A153" s="85">
        <v>78</v>
      </c>
      <c r="B153" s="185" t="s">
        <v>249</v>
      </c>
      <c r="C153" s="58"/>
      <c r="D153" s="70" t="s">
        <v>335</v>
      </c>
      <c r="E153" s="96">
        <v>1883</v>
      </c>
      <c r="F153" s="96">
        <v>1915</v>
      </c>
      <c r="G153" s="87">
        <v>32</v>
      </c>
      <c r="H153" s="110">
        <v>13340</v>
      </c>
      <c r="I153" s="177">
        <v>32050</v>
      </c>
      <c r="J153" s="178">
        <v>45390</v>
      </c>
      <c r="K153" s="165"/>
      <c r="L153" s="1"/>
      <c r="M153" s="276">
        <v>58730</v>
      </c>
    </row>
    <row r="154" spans="1:13" x14ac:dyDescent="0.25">
      <c r="A154" s="85">
        <v>79</v>
      </c>
      <c r="B154" s="185" t="s">
        <v>353</v>
      </c>
      <c r="C154" s="58"/>
      <c r="D154" s="70" t="s">
        <v>335</v>
      </c>
      <c r="E154" s="96">
        <v>489</v>
      </c>
      <c r="F154" s="96">
        <v>493</v>
      </c>
      <c r="G154" s="87">
        <v>4</v>
      </c>
      <c r="H154" s="110">
        <v>0</v>
      </c>
      <c r="I154" s="177">
        <v>5800</v>
      </c>
      <c r="J154" s="178">
        <v>5800</v>
      </c>
      <c r="K154" s="165"/>
      <c r="L154" s="1"/>
      <c r="M154" s="276">
        <v>5800</v>
      </c>
    </row>
    <row r="155" spans="1:13" x14ac:dyDescent="0.25">
      <c r="A155" s="85">
        <v>80</v>
      </c>
      <c r="B155" s="185" t="s">
        <v>251</v>
      </c>
      <c r="C155" s="58"/>
      <c r="D155" s="70" t="s">
        <v>335</v>
      </c>
      <c r="E155" s="96">
        <v>743</v>
      </c>
      <c r="F155" s="96">
        <v>743</v>
      </c>
      <c r="G155" s="87">
        <v>0</v>
      </c>
      <c r="H155" s="110">
        <v>92100</v>
      </c>
      <c r="I155" s="177">
        <v>3000</v>
      </c>
      <c r="J155" s="178">
        <v>95100</v>
      </c>
      <c r="K155" s="165"/>
      <c r="L155" s="1"/>
      <c r="M155" s="313">
        <v>95100</v>
      </c>
    </row>
    <row r="156" spans="1:13" x14ac:dyDescent="0.25">
      <c r="A156" s="85">
        <v>81</v>
      </c>
      <c r="B156" s="185" t="s">
        <v>252</v>
      </c>
      <c r="C156" s="58" t="s">
        <v>253</v>
      </c>
      <c r="D156" s="70" t="s">
        <v>335</v>
      </c>
      <c r="E156" s="96">
        <v>1993</v>
      </c>
      <c r="F156" s="96">
        <v>1993</v>
      </c>
      <c r="G156" s="87">
        <v>0</v>
      </c>
      <c r="H156" s="110">
        <v>0</v>
      </c>
      <c r="I156" s="177">
        <v>3000</v>
      </c>
      <c r="J156" s="178">
        <v>3000</v>
      </c>
      <c r="K156" s="165"/>
      <c r="L156" s="1"/>
      <c r="M156" s="276">
        <v>3000</v>
      </c>
    </row>
    <row r="157" spans="1:13" x14ac:dyDescent="0.25">
      <c r="A157" s="85">
        <v>82</v>
      </c>
      <c r="B157" s="185" t="s">
        <v>254</v>
      </c>
      <c r="C157" s="58" t="s">
        <v>255</v>
      </c>
      <c r="D157" s="70" t="s">
        <v>335</v>
      </c>
      <c r="E157" s="96">
        <v>2244</v>
      </c>
      <c r="F157" s="96">
        <v>2244</v>
      </c>
      <c r="G157" s="87">
        <v>0</v>
      </c>
      <c r="H157" s="110">
        <v>24000</v>
      </c>
      <c r="I157" s="177">
        <v>3000</v>
      </c>
      <c r="J157" s="178">
        <v>27000</v>
      </c>
      <c r="K157" s="165"/>
      <c r="L157" s="1"/>
      <c r="M157" s="276">
        <v>27000</v>
      </c>
    </row>
    <row r="158" spans="1:13" x14ac:dyDescent="0.25">
      <c r="A158" s="85">
        <v>83</v>
      </c>
      <c r="B158" s="185" t="s">
        <v>4</v>
      </c>
      <c r="C158" s="58"/>
      <c r="D158" s="70" t="s">
        <v>335</v>
      </c>
      <c r="E158" s="96">
        <v>228</v>
      </c>
      <c r="F158" s="96">
        <v>228</v>
      </c>
      <c r="G158" s="87">
        <v>0</v>
      </c>
      <c r="H158" s="110">
        <v>3000</v>
      </c>
      <c r="I158" s="177">
        <v>3000</v>
      </c>
      <c r="J158" s="178">
        <v>3000</v>
      </c>
      <c r="K158" s="165"/>
      <c r="L158" s="1"/>
      <c r="M158" s="276">
        <v>3000</v>
      </c>
    </row>
    <row r="159" spans="1:13" x14ac:dyDescent="0.25">
      <c r="A159" s="85">
        <v>84</v>
      </c>
      <c r="B159" s="185" t="s">
        <v>256</v>
      </c>
      <c r="C159" s="58" t="s">
        <v>257</v>
      </c>
      <c r="D159" s="70" t="s">
        <v>335</v>
      </c>
      <c r="E159" s="96">
        <v>506</v>
      </c>
      <c r="F159" s="96">
        <v>508</v>
      </c>
      <c r="G159" s="87">
        <v>2</v>
      </c>
      <c r="H159" s="110">
        <v>0</v>
      </c>
      <c r="I159" s="177">
        <v>4400</v>
      </c>
      <c r="J159" s="178">
        <v>4400</v>
      </c>
      <c r="K159" s="165"/>
      <c r="L159" s="1"/>
      <c r="M159" s="276">
        <v>4400</v>
      </c>
    </row>
    <row r="160" spans="1:13" x14ac:dyDescent="0.25">
      <c r="A160" s="85">
        <v>85</v>
      </c>
      <c r="B160" s="185" t="s">
        <v>258</v>
      </c>
      <c r="C160" s="58" t="s">
        <v>259</v>
      </c>
      <c r="D160" s="70" t="s">
        <v>335</v>
      </c>
      <c r="E160" s="96">
        <v>605</v>
      </c>
      <c r="F160" s="96">
        <v>605</v>
      </c>
      <c r="G160" s="87">
        <v>0</v>
      </c>
      <c r="H160" s="110">
        <v>3000</v>
      </c>
      <c r="I160" s="177">
        <v>3000</v>
      </c>
      <c r="J160" s="178">
        <v>24670</v>
      </c>
      <c r="K160" s="177">
        <v>24670</v>
      </c>
      <c r="L160" s="1" t="s">
        <v>435</v>
      </c>
      <c r="M160" s="276">
        <v>0</v>
      </c>
    </row>
    <row r="161" spans="1:14" x14ac:dyDescent="0.25">
      <c r="A161" s="85">
        <v>86</v>
      </c>
      <c r="B161" s="185" t="s">
        <v>260</v>
      </c>
      <c r="C161" s="58" t="s">
        <v>261</v>
      </c>
      <c r="D161" s="70" t="s">
        <v>335</v>
      </c>
      <c r="E161" s="96">
        <v>302</v>
      </c>
      <c r="F161" s="96">
        <v>320</v>
      </c>
      <c r="G161" s="87">
        <v>18</v>
      </c>
      <c r="H161" s="110">
        <v>0</v>
      </c>
      <c r="I161" s="187">
        <v>16650</v>
      </c>
      <c r="J161" s="178">
        <v>16650</v>
      </c>
      <c r="K161" s="165"/>
      <c r="L161" s="1"/>
      <c r="M161" s="276">
        <v>16650</v>
      </c>
    </row>
    <row r="162" spans="1:14" x14ac:dyDescent="0.25">
      <c r="A162" s="85">
        <v>87</v>
      </c>
      <c r="B162" s="185" t="s">
        <v>262</v>
      </c>
      <c r="C162" s="58" t="s">
        <v>263</v>
      </c>
      <c r="D162" s="70" t="s">
        <v>335</v>
      </c>
      <c r="E162" s="96">
        <v>485</v>
      </c>
      <c r="F162" s="96">
        <v>495</v>
      </c>
      <c r="G162" s="87">
        <v>10</v>
      </c>
      <c r="H162" s="110">
        <v>0</v>
      </c>
      <c r="I162" s="177">
        <v>10000</v>
      </c>
      <c r="J162" s="178">
        <v>8100</v>
      </c>
      <c r="K162" s="177">
        <v>8100</v>
      </c>
      <c r="L162" s="1" t="s">
        <v>424</v>
      </c>
      <c r="M162" s="276">
        <v>0</v>
      </c>
      <c r="N162" t="s">
        <v>436</v>
      </c>
    </row>
    <row r="163" spans="1:14" x14ac:dyDescent="0.25">
      <c r="A163" s="85">
        <v>88</v>
      </c>
      <c r="B163" s="185" t="s">
        <v>264</v>
      </c>
      <c r="C163" s="58" t="s">
        <v>265</v>
      </c>
      <c r="D163" s="70" t="s">
        <v>335</v>
      </c>
      <c r="E163" s="96">
        <v>3556</v>
      </c>
      <c r="F163" s="96">
        <v>3570</v>
      </c>
      <c r="G163" s="87">
        <v>14</v>
      </c>
      <c r="H163" s="110">
        <v>70100</v>
      </c>
      <c r="I163" s="177">
        <v>12800</v>
      </c>
      <c r="J163" s="178">
        <v>82900</v>
      </c>
      <c r="K163" s="177">
        <v>41450</v>
      </c>
      <c r="L163" s="1" t="s">
        <v>435</v>
      </c>
      <c r="M163" s="276">
        <v>41450</v>
      </c>
    </row>
    <row r="164" spans="1:14" x14ac:dyDescent="0.25">
      <c r="A164" s="85">
        <v>89</v>
      </c>
      <c r="B164" s="185" t="s">
        <v>266</v>
      </c>
      <c r="C164" s="58" t="s">
        <v>267</v>
      </c>
      <c r="D164" s="70" t="s">
        <v>335</v>
      </c>
      <c r="E164" s="96">
        <v>2</v>
      </c>
      <c r="F164" s="96">
        <v>2</v>
      </c>
      <c r="G164" s="87">
        <v>0</v>
      </c>
      <c r="H164" s="110">
        <v>85200</v>
      </c>
      <c r="I164" s="177">
        <v>3000</v>
      </c>
      <c r="J164" s="178">
        <v>88200</v>
      </c>
      <c r="K164" s="165"/>
      <c r="L164" s="1"/>
      <c r="M164" s="313">
        <v>88200</v>
      </c>
    </row>
    <row r="165" spans="1:14" x14ac:dyDescent="0.25">
      <c r="A165" s="85">
        <v>90</v>
      </c>
      <c r="B165" s="185" t="s">
        <v>268</v>
      </c>
      <c r="C165" s="58" t="s">
        <v>269</v>
      </c>
      <c r="D165" s="70" t="s">
        <v>335</v>
      </c>
      <c r="E165" s="96">
        <v>1508</v>
      </c>
      <c r="F165" s="96">
        <v>1535</v>
      </c>
      <c r="G165" s="87">
        <v>27</v>
      </c>
      <c r="H165" s="110">
        <v>0</v>
      </c>
      <c r="I165" s="177">
        <v>26100</v>
      </c>
      <c r="J165" s="178">
        <v>26100</v>
      </c>
      <c r="K165" s="177">
        <v>21900</v>
      </c>
      <c r="L165" s="1" t="s">
        <v>434</v>
      </c>
      <c r="M165" s="276">
        <v>4200</v>
      </c>
    </row>
    <row r="166" spans="1:14" x14ac:dyDescent="0.25">
      <c r="A166" s="85">
        <v>91</v>
      </c>
      <c r="B166" s="185" t="s">
        <v>271</v>
      </c>
      <c r="C166" s="58" t="s">
        <v>270</v>
      </c>
      <c r="D166" s="70" t="s">
        <v>335</v>
      </c>
      <c r="E166" s="96">
        <v>2602</v>
      </c>
      <c r="F166" s="96">
        <v>2603</v>
      </c>
      <c r="G166" s="87">
        <v>1</v>
      </c>
      <c r="H166" s="110">
        <v>3700</v>
      </c>
      <c r="I166" s="177">
        <v>3700</v>
      </c>
      <c r="J166" s="178">
        <v>7400</v>
      </c>
      <c r="K166" s="165"/>
      <c r="L166" s="1"/>
      <c r="M166" s="276">
        <v>7400</v>
      </c>
    </row>
    <row r="167" spans="1:14" x14ac:dyDescent="0.25">
      <c r="A167" s="85">
        <v>92</v>
      </c>
      <c r="B167" s="185" t="s">
        <v>374</v>
      </c>
      <c r="C167" s="58" t="s">
        <v>273</v>
      </c>
      <c r="D167" s="70" t="s">
        <v>335</v>
      </c>
      <c r="E167" s="96">
        <v>2991</v>
      </c>
      <c r="F167" s="96">
        <v>3018</v>
      </c>
      <c r="G167" s="87">
        <v>27</v>
      </c>
      <c r="H167" s="110">
        <v>0</v>
      </c>
      <c r="I167" s="177">
        <v>26100</v>
      </c>
      <c r="J167" s="178">
        <v>26100</v>
      </c>
      <c r="K167" s="177">
        <v>26100</v>
      </c>
      <c r="L167" s="1" t="s">
        <v>424</v>
      </c>
      <c r="M167" s="276">
        <v>0</v>
      </c>
    </row>
    <row r="168" spans="1:14" x14ac:dyDescent="0.25">
      <c r="A168" s="85">
        <v>93</v>
      </c>
      <c r="B168" s="185" t="s">
        <v>274</v>
      </c>
      <c r="C168" s="58" t="s">
        <v>275</v>
      </c>
      <c r="D168" s="70" t="s">
        <v>335</v>
      </c>
      <c r="E168" s="96">
        <v>8340</v>
      </c>
      <c r="F168" s="96">
        <v>8356</v>
      </c>
      <c r="G168" s="87">
        <v>16</v>
      </c>
      <c r="H168" s="110">
        <v>14000</v>
      </c>
      <c r="I168" s="177">
        <v>14550</v>
      </c>
      <c r="J168" s="178">
        <v>28550</v>
      </c>
      <c r="K168" s="165"/>
      <c r="L168" s="1"/>
      <c r="M168" s="276">
        <v>28550</v>
      </c>
    </row>
    <row r="169" spans="1:14" x14ac:dyDescent="0.25">
      <c r="A169" s="214">
        <v>94</v>
      </c>
      <c r="B169" s="195" t="s">
        <v>276</v>
      </c>
      <c r="C169" s="196" t="s">
        <v>277</v>
      </c>
      <c r="D169" s="197" t="s">
        <v>335</v>
      </c>
      <c r="E169" s="198">
        <v>2973</v>
      </c>
      <c r="F169" s="203"/>
      <c r="G169" s="199"/>
      <c r="H169" s="204">
        <v>32000</v>
      </c>
      <c r="I169" s="194"/>
      <c r="J169" s="205"/>
      <c r="K169" s="194"/>
      <c r="L169" s="194"/>
      <c r="M169" s="275"/>
    </row>
    <row r="170" spans="1:14" x14ac:dyDescent="0.25">
      <c r="A170" s="85">
        <v>95</v>
      </c>
      <c r="B170" s="185" t="s">
        <v>278</v>
      </c>
      <c r="C170" s="58" t="s">
        <v>279</v>
      </c>
      <c r="D170" s="70" t="s">
        <v>335</v>
      </c>
      <c r="E170" s="96">
        <v>1020</v>
      </c>
      <c r="F170" s="96">
        <v>1132</v>
      </c>
      <c r="G170" s="87">
        <v>12</v>
      </c>
      <c r="H170" s="110">
        <v>3000</v>
      </c>
      <c r="I170" s="177">
        <v>11400</v>
      </c>
      <c r="J170" s="178">
        <v>14400</v>
      </c>
      <c r="K170" s="165"/>
      <c r="L170" s="1"/>
      <c r="M170" s="310">
        <v>14400</v>
      </c>
    </row>
    <row r="171" spans="1:14" x14ac:dyDescent="0.25">
      <c r="A171" s="213">
        <v>96</v>
      </c>
      <c r="B171" s="179" t="s">
        <v>354</v>
      </c>
      <c r="C171" s="180" t="s">
        <v>281</v>
      </c>
      <c r="D171" s="181" t="s">
        <v>335</v>
      </c>
      <c r="E171" s="182">
        <v>742</v>
      </c>
      <c r="F171" s="182">
        <v>903</v>
      </c>
      <c r="G171" s="87">
        <v>12</v>
      </c>
      <c r="H171" s="110">
        <v>0</v>
      </c>
      <c r="I171" s="177">
        <v>11400</v>
      </c>
      <c r="J171" s="178">
        <v>11400</v>
      </c>
      <c r="K171" s="177">
        <v>11400</v>
      </c>
      <c r="L171" s="1" t="s">
        <v>435</v>
      </c>
      <c r="M171" s="276">
        <v>0</v>
      </c>
    </row>
    <row r="172" spans="1:14" x14ac:dyDescent="0.25">
      <c r="A172" s="85">
        <v>97</v>
      </c>
      <c r="B172" s="185" t="s">
        <v>282</v>
      </c>
      <c r="C172" s="58" t="s">
        <v>283</v>
      </c>
      <c r="D172" s="70" t="s">
        <v>335</v>
      </c>
      <c r="E172" s="96">
        <v>1660</v>
      </c>
      <c r="F172" s="96">
        <v>1664</v>
      </c>
      <c r="G172" s="87">
        <v>4</v>
      </c>
      <c r="H172" s="110">
        <v>0</v>
      </c>
      <c r="I172" s="177">
        <v>5800</v>
      </c>
      <c r="J172" s="178">
        <v>5800</v>
      </c>
      <c r="K172" s="165"/>
      <c r="L172" s="1"/>
      <c r="M172" s="276">
        <v>5800</v>
      </c>
    </row>
    <row r="173" spans="1:14" x14ac:dyDescent="0.25">
      <c r="A173" s="85">
        <v>98</v>
      </c>
      <c r="B173" s="185" t="s">
        <v>284</v>
      </c>
      <c r="C173" s="58" t="s">
        <v>285</v>
      </c>
      <c r="D173" s="70" t="s">
        <v>335</v>
      </c>
      <c r="E173" s="96">
        <v>2268</v>
      </c>
      <c r="F173" s="96">
        <v>2286</v>
      </c>
      <c r="G173" s="87">
        <v>18</v>
      </c>
      <c r="H173" s="110">
        <v>24000</v>
      </c>
      <c r="I173" s="177">
        <v>16650</v>
      </c>
      <c r="J173" s="178">
        <v>40650</v>
      </c>
      <c r="K173" s="177">
        <v>24000</v>
      </c>
      <c r="L173" s="1" t="s">
        <v>434</v>
      </c>
      <c r="M173" s="276">
        <v>16650</v>
      </c>
    </row>
    <row r="174" spans="1:14" x14ac:dyDescent="0.25">
      <c r="A174" s="85">
        <v>99</v>
      </c>
      <c r="B174" s="185" t="s">
        <v>286</v>
      </c>
      <c r="C174" s="58" t="s">
        <v>287</v>
      </c>
      <c r="D174" s="70" t="s">
        <v>335</v>
      </c>
      <c r="E174" s="96">
        <v>1152</v>
      </c>
      <c r="F174" s="96">
        <v>1152</v>
      </c>
      <c r="G174" s="87">
        <v>0</v>
      </c>
      <c r="H174" s="110">
        <v>14400</v>
      </c>
      <c r="I174" s="177">
        <v>3000</v>
      </c>
      <c r="J174" s="178">
        <v>17400</v>
      </c>
      <c r="K174" s="165"/>
      <c r="L174" s="1"/>
      <c r="M174" s="276">
        <v>17400</v>
      </c>
    </row>
    <row r="175" spans="1:14" x14ac:dyDescent="0.25">
      <c r="A175" s="85">
        <v>100</v>
      </c>
      <c r="B175" s="185" t="s">
        <v>288</v>
      </c>
      <c r="C175" s="58" t="s">
        <v>289</v>
      </c>
      <c r="D175" s="70" t="s">
        <v>335</v>
      </c>
      <c r="E175" s="96">
        <v>1333</v>
      </c>
      <c r="F175" s="96">
        <v>1348</v>
      </c>
      <c r="G175" s="87">
        <v>15</v>
      </c>
      <c r="H175" s="110">
        <v>0</v>
      </c>
      <c r="I175" s="177">
        <v>13500</v>
      </c>
      <c r="J175" s="178">
        <v>13500</v>
      </c>
      <c r="K175" s="177">
        <v>13500</v>
      </c>
      <c r="L175" s="1" t="s">
        <v>434</v>
      </c>
      <c r="M175" s="276">
        <v>0</v>
      </c>
    </row>
    <row r="176" spans="1:14" x14ac:dyDescent="0.25">
      <c r="A176" s="213">
        <v>101</v>
      </c>
      <c r="B176" s="179" t="s">
        <v>290</v>
      </c>
      <c r="C176" s="180" t="s">
        <v>291</v>
      </c>
      <c r="D176" s="181" t="s">
        <v>335</v>
      </c>
      <c r="E176" s="182">
        <v>1145</v>
      </c>
      <c r="F176" s="182">
        <v>1398</v>
      </c>
      <c r="G176" s="87">
        <v>5</v>
      </c>
      <c r="H176" s="110">
        <v>0</v>
      </c>
      <c r="I176" s="177">
        <v>6500</v>
      </c>
      <c r="J176" s="178">
        <v>6500</v>
      </c>
      <c r="K176" s="177">
        <v>6500</v>
      </c>
      <c r="L176" s="1" t="s">
        <v>435</v>
      </c>
      <c r="M176" s="276">
        <v>0</v>
      </c>
    </row>
    <row r="177" spans="1:13" x14ac:dyDescent="0.25">
      <c r="A177" s="85">
        <v>102</v>
      </c>
      <c r="B177" s="185" t="s">
        <v>292</v>
      </c>
      <c r="C177" s="58" t="s">
        <v>293</v>
      </c>
      <c r="D177" s="70" t="s">
        <v>335</v>
      </c>
      <c r="E177" s="96">
        <v>1771</v>
      </c>
      <c r="F177" s="96">
        <v>1782</v>
      </c>
      <c r="G177" s="87">
        <v>11</v>
      </c>
      <c r="H177" s="110">
        <v>10700</v>
      </c>
      <c r="I177" s="177">
        <v>10700</v>
      </c>
      <c r="J177" s="178">
        <v>21400</v>
      </c>
      <c r="K177" s="177">
        <v>21400</v>
      </c>
      <c r="L177" s="1" t="s">
        <v>435</v>
      </c>
      <c r="M177" s="276">
        <v>0</v>
      </c>
    </row>
    <row r="178" spans="1:13" x14ac:dyDescent="0.25">
      <c r="A178" s="85">
        <v>103</v>
      </c>
      <c r="B178" s="185" t="s">
        <v>294</v>
      </c>
      <c r="C178" s="58" t="s">
        <v>295</v>
      </c>
      <c r="D178" s="70" t="s">
        <v>335</v>
      </c>
      <c r="E178" s="96">
        <v>955</v>
      </c>
      <c r="F178" s="96">
        <v>965</v>
      </c>
      <c r="G178" s="87">
        <v>10</v>
      </c>
      <c r="H178" s="110">
        <v>0</v>
      </c>
      <c r="I178" s="177">
        <v>10000</v>
      </c>
      <c r="J178" s="178">
        <v>10000</v>
      </c>
      <c r="K178" s="177">
        <v>10000</v>
      </c>
      <c r="L178" s="1" t="s">
        <v>435</v>
      </c>
      <c r="M178" s="276">
        <v>0</v>
      </c>
    </row>
    <row r="179" spans="1:13" x14ac:dyDescent="0.25">
      <c r="A179" s="85">
        <v>104</v>
      </c>
      <c r="B179" s="185" t="s">
        <v>296</v>
      </c>
      <c r="C179" s="58" t="s">
        <v>297</v>
      </c>
      <c r="D179" s="70" t="s">
        <v>335</v>
      </c>
      <c r="E179" s="96">
        <v>815</v>
      </c>
      <c r="F179" s="96">
        <v>827</v>
      </c>
      <c r="G179" s="87">
        <v>12</v>
      </c>
      <c r="H179" s="110">
        <v>26670</v>
      </c>
      <c r="I179" s="177">
        <v>11400</v>
      </c>
      <c r="J179" s="178">
        <v>38070</v>
      </c>
      <c r="K179" s="177">
        <v>38070</v>
      </c>
      <c r="L179" s="1" t="s">
        <v>434</v>
      </c>
      <c r="M179" s="276">
        <v>0</v>
      </c>
    </row>
    <row r="180" spans="1:13" x14ac:dyDescent="0.25">
      <c r="A180" s="85">
        <v>105</v>
      </c>
      <c r="B180" s="185" t="s">
        <v>366</v>
      </c>
      <c r="C180" s="58" t="s">
        <v>299</v>
      </c>
      <c r="D180" s="70" t="s">
        <v>335</v>
      </c>
      <c r="E180" s="96">
        <v>2762</v>
      </c>
      <c r="F180" s="96">
        <v>2775</v>
      </c>
      <c r="G180" s="87">
        <v>13</v>
      </c>
      <c r="H180" s="110">
        <v>26670</v>
      </c>
      <c r="I180" s="177">
        <v>12100</v>
      </c>
      <c r="J180" s="178">
        <v>38770</v>
      </c>
      <c r="K180" s="177">
        <v>38770</v>
      </c>
      <c r="L180" s="1" t="s">
        <v>434</v>
      </c>
      <c r="M180" s="276">
        <v>0</v>
      </c>
    </row>
    <row r="181" spans="1:13" x14ac:dyDescent="0.25">
      <c r="A181" s="85">
        <v>106</v>
      </c>
      <c r="B181" s="185" t="s">
        <v>300</v>
      </c>
      <c r="C181" s="58" t="s">
        <v>301</v>
      </c>
      <c r="D181" s="70" t="s">
        <v>335</v>
      </c>
      <c r="E181" s="96">
        <v>4990</v>
      </c>
      <c r="F181" s="96">
        <v>4993</v>
      </c>
      <c r="G181" s="87">
        <v>3</v>
      </c>
      <c r="H181" s="110">
        <v>19000</v>
      </c>
      <c r="I181" s="177">
        <v>5100</v>
      </c>
      <c r="J181" s="178">
        <v>24100</v>
      </c>
      <c r="K181" s="165"/>
      <c r="L181" s="1"/>
      <c r="M181" s="276">
        <v>24100</v>
      </c>
    </row>
    <row r="182" spans="1:13" x14ac:dyDescent="0.25">
      <c r="A182" s="85">
        <v>107</v>
      </c>
      <c r="B182" s="185" t="s">
        <v>302</v>
      </c>
      <c r="C182" s="58" t="s">
        <v>303</v>
      </c>
      <c r="D182" s="70" t="s">
        <v>335</v>
      </c>
      <c r="E182" s="96">
        <v>621</v>
      </c>
      <c r="F182" s="96">
        <v>632</v>
      </c>
      <c r="G182" s="87">
        <v>11</v>
      </c>
      <c r="H182" s="110">
        <v>0</v>
      </c>
      <c r="I182" s="177">
        <v>10700</v>
      </c>
      <c r="J182" s="178">
        <v>10700</v>
      </c>
      <c r="K182" s="177">
        <v>10700</v>
      </c>
      <c r="L182" s="1" t="s">
        <v>434</v>
      </c>
      <c r="M182" s="276">
        <v>0</v>
      </c>
    </row>
    <row r="183" spans="1:13" x14ac:dyDescent="0.25">
      <c r="A183" s="85">
        <v>108</v>
      </c>
      <c r="B183" s="185" t="s">
        <v>304</v>
      </c>
      <c r="C183" s="58" t="s">
        <v>305</v>
      </c>
      <c r="D183" s="70" t="s">
        <v>335</v>
      </c>
      <c r="E183" s="96">
        <v>3468</v>
      </c>
      <c r="F183" s="96">
        <v>3492</v>
      </c>
      <c r="G183" s="87">
        <v>24</v>
      </c>
      <c r="H183" s="110">
        <v>0</v>
      </c>
      <c r="I183" s="177">
        <v>22950</v>
      </c>
      <c r="J183" s="178">
        <v>22950</v>
      </c>
      <c r="K183" s="165"/>
      <c r="L183" s="1"/>
      <c r="M183" s="276">
        <v>22950</v>
      </c>
    </row>
    <row r="184" spans="1:13" x14ac:dyDescent="0.25">
      <c r="A184" s="85">
        <v>109</v>
      </c>
      <c r="B184" s="185" t="s">
        <v>306</v>
      </c>
      <c r="C184" s="58" t="s">
        <v>307</v>
      </c>
      <c r="D184" s="70" t="s">
        <v>335</v>
      </c>
      <c r="E184" s="96">
        <v>2940</v>
      </c>
      <c r="F184" s="96">
        <v>2950</v>
      </c>
      <c r="G184" s="87">
        <v>10</v>
      </c>
      <c r="H184" s="110">
        <v>7590</v>
      </c>
      <c r="I184" s="177">
        <v>10000</v>
      </c>
      <c r="J184" s="178">
        <v>17590</v>
      </c>
      <c r="K184" s="177">
        <v>17590</v>
      </c>
      <c r="L184" s="1" t="s">
        <v>435</v>
      </c>
      <c r="M184" s="276">
        <v>0</v>
      </c>
    </row>
    <row r="185" spans="1:13" x14ac:dyDescent="0.25">
      <c r="A185" s="85">
        <v>110</v>
      </c>
      <c r="B185" s="185" t="s">
        <v>308</v>
      </c>
      <c r="C185" s="58" t="s">
        <v>309</v>
      </c>
      <c r="D185" s="70" t="s">
        <v>335</v>
      </c>
      <c r="E185" s="96">
        <v>51</v>
      </c>
      <c r="F185" s="96">
        <v>51</v>
      </c>
      <c r="G185" s="87">
        <v>0</v>
      </c>
      <c r="H185" s="110">
        <v>0</v>
      </c>
      <c r="I185" s="177">
        <v>3000</v>
      </c>
      <c r="J185" s="178">
        <v>3000</v>
      </c>
      <c r="K185" s="165"/>
      <c r="L185" s="1"/>
      <c r="M185" s="276">
        <v>3000</v>
      </c>
    </row>
    <row r="186" spans="1:13" x14ac:dyDescent="0.25">
      <c r="A186" s="85">
        <v>111</v>
      </c>
      <c r="B186" s="185" t="s">
        <v>432</v>
      </c>
      <c r="C186" s="58" t="s">
        <v>311</v>
      </c>
      <c r="D186" s="70" t="s">
        <v>334</v>
      </c>
      <c r="E186" s="96">
        <v>2266</v>
      </c>
      <c r="F186" s="96">
        <v>2266</v>
      </c>
      <c r="G186" s="87">
        <v>0</v>
      </c>
      <c r="H186" s="110">
        <v>0</v>
      </c>
      <c r="I186" s="177">
        <v>3000</v>
      </c>
      <c r="J186" s="178">
        <v>3000</v>
      </c>
      <c r="K186" s="177">
        <v>3000</v>
      </c>
      <c r="L186" s="1" t="s">
        <v>433</v>
      </c>
      <c r="M186" s="276">
        <v>0</v>
      </c>
    </row>
    <row r="187" spans="1:13" x14ac:dyDescent="0.25">
      <c r="A187" s="85">
        <v>112</v>
      </c>
      <c r="B187" s="185" t="s">
        <v>312</v>
      </c>
      <c r="C187" s="58" t="s">
        <v>313</v>
      </c>
      <c r="D187" s="70" t="s">
        <v>335</v>
      </c>
      <c r="E187" s="96">
        <v>2503</v>
      </c>
      <c r="F187" s="96">
        <v>2543</v>
      </c>
      <c r="G187" s="87">
        <v>40</v>
      </c>
      <c r="H187" s="110">
        <v>0</v>
      </c>
      <c r="I187" s="177">
        <v>43250</v>
      </c>
      <c r="J187" s="178">
        <v>43250</v>
      </c>
      <c r="K187" s="177">
        <v>43250</v>
      </c>
      <c r="L187" s="1" t="s">
        <v>434</v>
      </c>
      <c r="M187" s="276">
        <v>0</v>
      </c>
    </row>
    <row r="188" spans="1:13" x14ac:dyDescent="0.25">
      <c r="A188" s="85">
        <v>113</v>
      </c>
      <c r="B188" s="185" t="s">
        <v>314</v>
      </c>
      <c r="C188" s="58" t="s">
        <v>315</v>
      </c>
      <c r="D188" s="70" t="s">
        <v>335</v>
      </c>
      <c r="E188" s="96">
        <v>1315</v>
      </c>
      <c r="F188" s="96">
        <v>1315</v>
      </c>
      <c r="G188" s="87">
        <v>0</v>
      </c>
      <c r="H188" s="110">
        <v>3000</v>
      </c>
      <c r="I188" s="177">
        <v>3000</v>
      </c>
      <c r="J188" s="178">
        <v>6000</v>
      </c>
      <c r="K188" s="165"/>
      <c r="L188" s="1"/>
      <c r="M188" s="276">
        <v>6000</v>
      </c>
    </row>
    <row r="189" spans="1:13" x14ac:dyDescent="0.25">
      <c r="A189" s="85">
        <v>114</v>
      </c>
      <c r="B189" s="185" t="s">
        <v>316</v>
      </c>
      <c r="C189" s="58" t="s">
        <v>317</v>
      </c>
      <c r="D189" s="70" t="s">
        <v>335</v>
      </c>
      <c r="E189" s="96">
        <v>4043</v>
      </c>
      <c r="F189" s="96">
        <v>4043</v>
      </c>
      <c r="G189" s="87">
        <v>0</v>
      </c>
      <c r="H189" s="110">
        <v>3700</v>
      </c>
      <c r="I189" s="177">
        <v>3000</v>
      </c>
      <c r="J189" s="178">
        <v>6700</v>
      </c>
      <c r="K189" s="165"/>
      <c r="L189" s="1"/>
      <c r="M189" s="276">
        <v>6700</v>
      </c>
    </row>
    <row r="190" spans="1:13" x14ac:dyDescent="0.25">
      <c r="A190" s="85">
        <v>115</v>
      </c>
      <c r="B190" s="185" t="s">
        <v>318</v>
      </c>
      <c r="C190" s="58" t="s">
        <v>319</v>
      </c>
      <c r="D190" s="70" t="s">
        <v>335</v>
      </c>
      <c r="E190" s="96">
        <v>1054</v>
      </c>
      <c r="F190" s="96">
        <v>1058</v>
      </c>
      <c r="G190" s="87">
        <v>4</v>
      </c>
      <c r="H190" s="110">
        <v>0</v>
      </c>
      <c r="I190" s="177">
        <v>5800</v>
      </c>
      <c r="J190" s="178">
        <v>5800</v>
      </c>
      <c r="K190" s="165"/>
      <c r="L190" s="1"/>
      <c r="M190" s="276">
        <v>5800</v>
      </c>
    </row>
    <row r="191" spans="1:13" x14ac:dyDescent="0.25">
      <c r="A191" s="85">
        <v>116</v>
      </c>
      <c r="B191" s="185" t="s">
        <v>320</v>
      </c>
      <c r="C191" s="58" t="s">
        <v>321</v>
      </c>
      <c r="D191" s="70" t="s">
        <v>335</v>
      </c>
      <c r="E191" s="96">
        <v>1257</v>
      </c>
      <c r="F191" s="96">
        <v>1269</v>
      </c>
      <c r="G191" s="87">
        <v>12</v>
      </c>
      <c r="H191" s="110">
        <v>400</v>
      </c>
      <c r="I191" s="177">
        <v>11400</v>
      </c>
      <c r="J191" s="178">
        <v>11800</v>
      </c>
      <c r="K191" s="165"/>
      <c r="L191" s="1"/>
      <c r="M191" s="276">
        <v>11800</v>
      </c>
    </row>
    <row r="192" spans="1:13" x14ac:dyDescent="0.25">
      <c r="A192" s="85">
        <v>117</v>
      </c>
      <c r="B192" s="185" t="s">
        <v>362</v>
      </c>
      <c r="C192" s="58" t="s">
        <v>323</v>
      </c>
      <c r="D192" s="70" t="s">
        <v>335</v>
      </c>
      <c r="E192" s="96">
        <v>2824</v>
      </c>
      <c r="F192" s="96">
        <v>2840</v>
      </c>
      <c r="G192" s="87">
        <v>16</v>
      </c>
      <c r="H192" s="110">
        <v>52800</v>
      </c>
      <c r="I192" s="177">
        <v>14550</v>
      </c>
      <c r="J192" s="178">
        <v>67350</v>
      </c>
      <c r="K192" s="165"/>
      <c r="L192" s="1"/>
      <c r="M192" s="276">
        <v>67350</v>
      </c>
    </row>
    <row r="193" spans="1:13" x14ac:dyDescent="0.25">
      <c r="A193" s="85">
        <v>118</v>
      </c>
      <c r="B193" s="185" t="s">
        <v>324</v>
      </c>
      <c r="C193" s="58" t="s">
        <v>325</v>
      </c>
      <c r="D193" s="70" t="s">
        <v>335</v>
      </c>
      <c r="E193" s="96">
        <v>416</v>
      </c>
      <c r="F193" s="96">
        <v>424</v>
      </c>
      <c r="G193" s="87">
        <v>8</v>
      </c>
      <c r="H193" s="110">
        <v>8600</v>
      </c>
      <c r="I193" s="177">
        <v>8600</v>
      </c>
      <c r="J193" s="178">
        <v>17200</v>
      </c>
      <c r="K193" s="165"/>
      <c r="L193" s="1"/>
      <c r="M193" s="276">
        <v>17200</v>
      </c>
    </row>
    <row r="194" spans="1:13" x14ac:dyDescent="0.25">
      <c r="A194" s="85">
        <v>119</v>
      </c>
      <c r="B194" s="185" t="s">
        <v>326</v>
      </c>
      <c r="C194" s="58" t="s">
        <v>327</v>
      </c>
      <c r="D194" s="70" t="s">
        <v>335</v>
      </c>
      <c r="E194" s="96">
        <v>2944</v>
      </c>
      <c r="F194" s="96">
        <v>2946</v>
      </c>
      <c r="G194" s="87">
        <v>2</v>
      </c>
      <c r="H194" s="110">
        <v>0</v>
      </c>
      <c r="I194" s="177">
        <v>4400</v>
      </c>
      <c r="J194" s="178">
        <v>4400</v>
      </c>
      <c r="K194" s="165"/>
      <c r="L194" s="1"/>
      <c r="M194" s="276">
        <v>4400</v>
      </c>
    </row>
    <row r="195" spans="1:13" x14ac:dyDescent="0.25">
      <c r="A195" s="85">
        <v>120</v>
      </c>
      <c r="B195" s="185" t="s">
        <v>328</v>
      </c>
      <c r="C195" s="58" t="s">
        <v>329</v>
      </c>
      <c r="D195" s="70" t="s">
        <v>335</v>
      </c>
      <c r="E195" s="96">
        <v>2647</v>
      </c>
      <c r="F195" s="96">
        <v>2651</v>
      </c>
      <c r="G195" s="87">
        <v>4</v>
      </c>
      <c r="H195" s="110">
        <v>10700</v>
      </c>
      <c r="I195" s="177">
        <v>5800</v>
      </c>
      <c r="J195" s="178">
        <v>16500</v>
      </c>
      <c r="K195" s="177">
        <v>16500</v>
      </c>
      <c r="L195" s="1" t="s">
        <v>434</v>
      </c>
      <c r="M195" s="276">
        <v>0</v>
      </c>
    </row>
    <row r="196" spans="1:13" x14ac:dyDescent="0.25">
      <c r="A196" s="85">
        <v>121</v>
      </c>
      <c r="B196" s="185" t="s">
        <v>363</v>
      </c>
      <c r="C196" s="58" t="s">
        <v>331</v>
      </c>
      <c r="D196" s="70" t="s">
        <v>335</v>
      </c>
      <c r="E196" s="96">
        <v>1076</v>
      </c>
      <c r="F196" s="96">
        <v>1210</v>
      </c>
      <c r="G196" s="87">
        <v>5</v>
      </c>
      <c r="H196" s="110">
        <v>0</v>
      </c>
      <c r="I196" s="177">
        <v>6500</v>
      </c>
      <c r="J196" s="178">
        <v>6500</v>
      </c>
      <c r="K196" s="165"/>
      <c r="L196" s="1"/>
      <c r="M196" s="276">
        <v>6500</v>
      </c>
    </row>
    <row r="197" spans="1:13" x14ac:dyDescent="0.25">
      <c r="A197" s="85">
        <f>A196+1</f>
        <v>122</v>
      </c>
      <c r="B197" s="185" t="s">
        <v>332</v>
      </c>
      <c r="C197" s="58" t="s">
        <v>333</v>
      </c>
      <c r="D197" s="70" t="s">
        <v>335</v>
      </c>
      <c r="E197" s="96">
        <v>892</v>
      </c>
      <c r="F197" s="96">
        <v>916</v>
      </c>
      <c r="G197" s="87">
        <v>24</v>
      </c>
      <c r="H197" s="110">
        <v>14550</v>
      </c>
      <c r="I197" s="177">
        <v>22950</v>
      </c>
      <c r="J197" s="178">
        <v>37500</v>
      </c>
      <c r="K197" s="177">
        <v>14550</v>
      </c>
      <c r="L197" s="1" t="s">
        <v>435</v>
      </c>
      <c r="M197" s="276">
        <v>22950</v>
      </c>
    </row>
    <row r="198" spans="1:13" x14ac:dyDescent="0.25">
      <c r="A198" s="212"/>
      <c r="B198" s="171"/>
      <c r="C198" s="172"/>
      <c r="D198" s="168"/>
      <c r="E198" s="140"/>
      <c r="F198" s="141"/>
      <c r="G198" s="173"/>
      <c r="H198" s="146"/>
      <c r="I198" s="146"/>
      <c r="J198" s="146"/>
    </row>
    <row r="199" spans="1:13" x14ac:dyDescent="0.25">
      <c r="A199" s="212"/>
      <c r="B199" s="171"/>
      <c r="C199" s="172"/>
      <c r="D199" s="168"/>
      <c r="E199" s="140"/>
      <c r="F199" s="141"/>
      <c r="G199" s="173"/>
      <c r="H199" s="146"/>
      <c r="I199" s="146"/>
      <c r="J199" s="146"/>
    </row>
    <row r="200" spans="1:13" x14ac:dyDescent="0.25">
      <c r="A200" s="212"/>
      <c r="B200" s="171"/>
      <c r="C200" s="172"/>
      <c r="D200" s="174"/>
      <c r="E200" s="144"/>
      <c r="F200" s="141"/>
      <c r="G200" s="173"/>
      <c r="H200" s="146"/>
      <c r="I200" s="146"/>
      <c r="J200" s="146"/>
    </row>
    <row r="201" spans="1:13" x14ac:dyDescent="0.25">
      <c r="A201" s="212"/>
      <c r="B201" s="171"/>
      <c r="C201" s="172"/>
      <c r="D201" s="174"/>
      <c r="E201" s="144"/>
      <c r="F201" s="141"/>
      <c r="G201" s="173"/>
      <c r="H201" s="146"/>
      <c r="I201" s="146"/>
      <c r="J201" s="146"/>
    </row>
    <row r="202" spans="1:13" x14ac:dyDescent="0.25">
      <c r="A202" s="212"/>
      <c r="B202" s="171"/>
      <c r="C202" s="172"/>
      <c r="D202" s="174"/>
      <c r="E202" s="144"/>
      <c r="F202" s="141"/>
      <c r="G202" s="173"/>
      <c r="H202" s="146"/>
      <c r="I202" s="146"/>
      <c r="J202" s="146"/>
    </row>
    <row r="203" spans="1:13" x14ac:dyDescent="0.25">
      <c r="A203" s="212"/>
      <c r="B203" s="171"/>
      <c r="C203" s="172"/>
      <c r="D203" s="175"/>
      <c r="E203" s="145"/>
      <c r="F203" s="143"/>
      <c r="G203" s="173"/>
      <c r="H203" s="146"/>
      <c r="I203" s="146"/>
      <c r="J203" s="146"/>
    </row>
    <row r="204" spans="1:13" x14ac:dyDescent="0.25">
      <c r="A204" s="212"/>
      <c r="B204" s="171"/>
      <c r="C204" s="172"/>
      <c r="D204" s="175"/>
      <c r="E204" s="145"/>
      <c r="F204" s="143"/>
      <c r="G204" s="173"/>
      <c r="H204" s="146"/>
      <c r="I204" s="146"/>
      <c r="J204" s="146"/>
    </row>
    <row r="205" spans="1:13" x14ac:dyDescent="0.25">
      <c r="A205" s="212"/>
      <c r="B205" s="171"/>
      <c r="C205" s="172"/>
      <c r="D205" s="175"/>
      <c r="E205" s="145"/>
      <c r="F205" s="143"/>
      <c r="G205" s="173"/>
      <c r="H205" s="146"/>
      <c r="I205" s="146"/>
      <c r="J205" s="146"/>
    </row>
    <row r="206" spans="1:13" x14ac:dyDescent="0.25">
      <c r="A206" s="212"/>
      <c r="B206" s="171"/>
      <c r="C206" s="172"/>
      <c r="D206" s="175"/>
      <c r="E206" s="145"/>
      <c r="F206" s="143"/>
      <c r="G206" s="173"/>
      <c r="H206" s="146"/>
      <c r="I206" s="146"/>
      <c r="J206" s="146"/>
    </row>
    <row r="207" spans="1:13" x14ac:dyDescent="0.25">
      <c r="A207" s="212"/>
      <c r="B207" s="171"/>
      <c r="C207" s="172"/>
      <c r="D207" s="175"/>
      <c r="E207" s="145"/>
      <c r="F207" s="143"/>
      <c r="G207" s="173"/>
      <c r="H207" s="146"/>
      <c r="I207" s="146"/>
      <c r="J207" s="146"/>
    </row>
  </sheetData>
  <mergeCells count="2">
    <mergeCell ref="A1:C1"/>
    <mergeCell ref="A74:C74"/>
  </mergeCells>
  <pageMargins left="0.7" right="0.7" top="0.75" bottom="0.75" header="0.3" footer="0.3"/>
  <pageSetup paperSize="9" orientation="portrait" horizontalDpi="0" verticalDpi="0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199"/>
  <sheetViews>
    <sheetView topLeftCell="A177" workbookViewId="0">
      <selection activeCell="D101" sqref="D101"/>
    </sheetView>
  </sheetViews>
  <sheetFormatPr baseColWidth="10" defaultRowHeight="15" x14ac:dyDescent="0.25"/>
  <cols>
    <col min="1" max="1" width="4.5703125" style="215" customWidth="1"/>
    <col min="2" max="2" width="42.85546875" customWidth="1"/>
    <col min="4" max="4" width="13.85546875" customWidth="1"/>
    <col min="6" max="6" width="10.28515625" customWidth="1"/>
    <col min="7" max="7" width="6" customWidth="1"/>
    <col min="12" max="12" width="13.42578125" customWidth="1"/>
  </cols>
  <sheetData>
    <row r="1" spans="1:13" x14ac:dyDescent="0.25">
      <c r="A1" s="378" t="s">
        <v>8</v>
      </c>
      <c r="B1" s="378"/>
      <c r="C1" s="378"/>
      <c r="D1" s="132"/>
      <c r="E1" s="131"/>
      <c r="F1" s="151" t="s">
        <v>438</v>
      </c>
      <c r="G1" s="131"/>
      <c r="H1" s="131"/>
      <c r="I1" s="131"/>
      <c r="J1" s="133"/>
    </row>
    <row r="2" spans="1:13" x14ac:dyDescent="0.25">
      <c r="A2" s="91" t="s">
        <v>3</v>
      </c>
      <c r="B2" s="128" t="s">
        <v>0</v>
      </c>
      <c r="C2" s="128" t="s">
        <v>1</v>
      </c>
      <c r="D2" s="129" t="s">
        <v>2</v>
      </c>
      <c r="E2" s="129" t="s">
        <v>336</v>
      </c>
      <c r="F2" s="129" t="s">
        <v>337</v>
      </c>
      <c r="G2" s="128" t="s">
        <v>10</v>
      </c>
      <c r="H2" s="129" t="s">
        <v>356</v>
      </c>
      <c r="I2" s="129" t="s">
        <v>357</v>
      </c>
      <c r="J2" s="128" t="s">
        <v>11</v>
      </c>
      <c r="K2" s="129" t="s">
        <v>12</v>
      </c>
      <c r="L2" s="129" t="s">
        <v>355</v>
      </c>
      <c r="M2" s="130" t="s">
        <v>13</v>
      </c>
    </row>
    <row r="3" spans="1:13" x14ac:dyDescent="0.25">
      <c r="A3" s="159">
        <v>1</v>
      </c>
      <c r="B3" s="160" t="s">
        <v>14</v>
      </c>
      <c r="C3" s="161" t="s">
        <v>100</v>
      </c>
      <c r="D3" s="154" t="s">
        <v>5</v>
      </c>
      <c r="E3" s="155">
        <v>1592</v>
      </c>
      <c r="F3" s="160">
        <v>1592</v>
      </c>
      <c r="G3" s="156">
        <v>0</v>
      </c>
      <c r="H3" s="176">
        <v>0</v>
      </c>
      <c r="I3" s="164">
        <v>1500</v>
      </c>
      <c r="J3" s="176">
        <v>1500</v>
      </c>
      <c r="K3" s="160"/>
      <c r="L3" s="160"/>
      <c r="M3" s="176">
        <v>1500</v>
      </c>
    </row>
    <row r="4" spans="1:13" x14ac:dyDescent="0.25">
      <c r="A4" s="85">
        <f>A3+1</f>
        <v>2</v>
      </c>
      <c r="B4" s="1" t="s">
        <v>15</v>
      </c>
      <c r="C4" s="4"/>
      <c r="D4" s="70" t="s">
        <v>5</v>
      </c>
      <c r="E4" s="96">
        <v>1</v>
      </c>
      <c r="F4" s="96">
        <v>1</v>
      </c>
      <c r="G4" s="87">
        <v>0</v>
      </c>
      <c r="H4" s="183">
        <v>0</v>
      </c>
      <c r="I4" s="177">
        <v>3000</v>
      </c>
      <c r="J4" s="178">
        <v>3000</v>
      </c>
      <c r="K4" s="177">
        <v>3000</v>
      </c>
      <c r="L4" s="1" t="s">
        <v>434</v>
      </c>
      <c r="M4" s="183">
        <v>0</v>
      </c>
    </row>
    <row r="5" spans="1:13" x14ac:dyDescent="0.25">
      <c r="A5" s="159">
        <f t="shared" ref="A5:A50" si="0">A4+1</f>
        <v>3</v>
      </c>
      <c r="B5" s="206" t="s">
        <v>16</v>
      </c>
      <c r="C5" s="207" t="s">
        <v>101</v>
      </c>
      <c r="D5" s="208" t="s">
        <v>5</v>
      </c>
      <c r="E5" s="209">
        <v>2267</v>
      </c>
      <c r="F5" s="209">
        <v>2888</v>
      </c>
      <c r="G5" s="156">
        <v>21</v>
      </c>
      <c r="H5" s="164">
        <v>0</v>
      </c>
      <c r="I5" s="164">
        <v>13050</v>
      </c>
      <c r="J5" s="176">
        <v>13050</v>
      </c>
      <c r="K5" s="164">
        <v>13050</v>
      </c>
      <c r="L5" s="160" t="s">
        <v>424</v>
      </c>
      <c r="M5" s="176">
        <v>0</v>
      </c>
    </row>
    <row r="6" spans="1:13" x14ac:dyDescent="0.25">
      <c r="A6" s="85">
        <f t="shared" si="0"/>
        <v>4</v>
      </c>
      <c r="B6" s="179" t="s">
        <v>17</v>
      </c>
      <c r="C6" s="210" t="s">
        <v>373</v>
      </c>
      <c r="D6" s="181" t="s">
        <v>5</v>
      </c>
      <c r="E6" s="182">
        <v>2657</v>
      </c>
      <c r="F6" s="182">
        <v>2992</v>
      </c>
      <c r="G6" s="87">
        <v>15</v>
      </c>
      <c r="H6" s="166">
        <v>0</v>
      </c>
      <c r="I6" s="177">
        <v>13500</v>
      </c>
      <c r="J6" s="178">
        <v>13500</v>
      </c>
      <c r="K6" s="177"/>
      <c r="L6" s="1"/>
      <c r="M6" s="183">
        <v>13500</v>
      </c>
    </row>
    <row r="7" spans="1:13" x14ac:dyDescent="0.25">
      <c r="A7" s="85">
        <f t="shared" si="0"/>
        <v>5</v>
      </c>
      <c r="B7" s="1" t="s">
        <v>18</v>
      </c>
      <c r="C7" s="4" t="s">
        <v>377</v>
      </c>
      <c r="D7" s="70" t="s">
        <v>5</v>
      </c>
      <c r="E7" s="96">
        <v>2047</v>
      </c>
      <c r="F7" s="96">
        <v>2066</v>
      </c>
      <c r="G7" s="87">
        <v>19</v>
      </c>
      <c r="H7" s="183">
        <v>0</v>
      </c>
      <c r="I7" s="177">
        <v>17700</v>
      </c>
      <c r="J7" s="178">
        <v>17700</v>
      </c>
      <c r="K7" s="177">
        <v>17700</v>
      </c>
      <c r="L7" s="1" t="s">
        <v>434</v>
      </c>
      <c r="M7" s="183">
        <v>0</v>
      </c>
    </row>
    <row r="8" spans="1:13" x14ac:dyDescent="0.25">
      <c r="A8" s="85">
        <f t="shared" si="0"/>
        <v>6</v>
      </c>
      <c r="B8" s="1" t="s">
        <v>19</v>
      </c>
      <c r="C8" s="4"/>
      <c r="D8" s="70" t="s">
        <v>5</v>
      </c>
      <c r="E8" s="96">
        <v>368</v>
      </c>
      <c r="F8" s="96">
        <v>375</v>
      </c>
      <c r="G8" s="87">
        <v>7</v>
      </c>
      <c r="H8" s="183">
        <v>0</v>
      </c>
      <c r="I8" s="177">
        <v>7900</v>
      </c>
      <c r="J8" s="178">
        <v>7900</v>
      </c>
      <c r="K8" s="165"/>
      <c r="L8" s="1"/>
      <c r="M8" s="183">
        <v>7900</v>
      </c>
    </row>
    <row r="9" spans="1:13" x14ac:dyDescent="0.25">
      <c r="A9" s="85">
        <f t="shared" si="0"/>
        <v>7</v>
      </c>
      <c r="B9" s="1" t="s">
        <v>20</v>
      </c>
      <c r="C9" s="4" t="s">
        <v>427</v>
      </c>
      <c r="D9" s="70" t="s">
        <v>5</v>
      </c>
      <c r="E9" s="96">
        <v>5743</v>
      </c>
      <c r="F9" s="96">
        <v>5784</v>
      </c>
      <c r="G9" s="87">
        <v>41</v>
      </c>
      <c r="H9" s="183">
        <v>0</v>
      </c>
      <c r="I9" s="177">
        <v>44650</v>
      </c>
      <c r="J9" s="178">
        <v>44650</v>
      </c>
      <c r="K9" s="177">
        <v>44650</v>
      </c>
      <c r="L9" s="1" t="s">
        <v>434</v>
      </c>
      <c r="M9" s="183">
        <v>0</v>
      </c>
    </row>
    <row r="10" spans="1:13" x14ac:dyDescent="0.25">
      <c r="A10" s="85">
        <f t="shared" si="0"/>
        <v>8</v>
      </c>
      <c r="B10" s="1" t="s">
        <v>21</v>
      </c>
      <c r="C10" s="4" t="s">
        <v>378</v>
      </c>
      <c r="D10" s="70" t="s">
        <v>5</v>
      </c>
      <c r="E10" s="96">
        <v>1744</v>
      </c>
      <c r="F10" s="96">
        <v>1755</v>
      </c>
      <c r="G10" s="87">
        <v>11</v>
      </c>
      <c r="H10" s="183">
        <v>12800</v>
      </c>
      <c r="I10" s="177">
        <v>10700</v>
      </c>
      <c r="J10" s="177">
        <v>23500</v>
      </c>
      <c r="K10" s="165"/>
      <c r="L10" s="1"/>
      <c r="M10" s="183">
        <v>23500</v>
      </c>
    </row>
    <row r="11" spans="1:13" x14ac:dyDescent="0.25">
      <c r="A11" s="85">
        <f t="shared" si="0"/>
        <v>9</v>
      </c>
      <c r="B11" s="1" t="s">
        <v>22</v>
      </c>
      <c r="C11" s="4" t="s">
        <v>379</v>
      </c>
      <c r="D11" s="70" t="s">
        <v>5</v>
      </c>
      <c r="E11" s="96">
        <v>462</v>
      </c>
      <c r="F11" s="96">
        <v>471</v>
      </c>
      <c r="G11" s="87">
        <v>9</v>
      </c>
      <c r="H11" s="183">
        <v>0</v>
      </c>
      <c r="I11" s="177">
        <v>9300</v>
      </c>
      <c r="J11" s="177">
        <v>9300</v>
      </c>
      <c r="K11" s="177"/>
      <c r="L11" s="1"/>
      <c r="M11" s="183">
        <v>9300</v>
      </c>
    </row>
    <row r="12" spans="1:13" x14ac:dyDescent="0.25">
      <c r="A12" s="85">
        <f t="shared" si="0"/>
        <v>10</v>
      </c>
      <c r="B12" s="1" t="s">
        <v>380</v>
      </c>
      <c r="C12" s="4" t="s">
        <v>386</v>
      </c>
      <c r="D12" s="70" t="s">
        <v>5</v>
      </c>
      <c r="E12" s="96">
        <v>9549</v>
      </c>
      <c r="F12" s="96">
        <v>9665</v>
      </c>
      <c r="G12" s="87">
        <v>116</v>
      </c>
      <c r="H12" s="183">
        <v>0</v>
      </c>
      <c r="I12" s="177">
        <v>149650</v>
      </c>
      <c r="J12" s="178">
        <v>149650</v>
      </c>
      <c r="K12" s="177">
        <v>149650</v>
      </c>
      <c r="L12" s="1" t="s">
        <v>434</v>
      </c>
      <c r="M12" s="183">
        <v>0</v>
      </c>
    </row>
    <row r="13" spans="1:13" x14ac:dyDescent="0.25">
      <c r="A13" s="85">
        <f t="shared" si="0"/>
        <v>11</v>
      </c>
      <c r="B13" s="1" t="s">
        <v>24</v>
      </c>
      <c r="C13" s="4" t="s">
        <v>382</v>
      </c>
      <c r="D13" s="70" t="s">
        <v>5</v>
      </c>
      <c r="E13" s="96">
        <v>3307</v>
      </c>
      <c r="F13" s="96">
        <v>3314</v>
      </c>
      <c r="G13" s="87">
        <v>7</v>
      </c>
      <c r="H13" s="166">
        <v>0</v>
      </c>
      <c r="I13" s="177">
        <v>7900</v>
      </c>
      <c r="J13" s="178">
        <v>7900</v>
      </c>
      <c r="K13" s="177"/>
      <c r="L13" s="1"/>
      <c r="M13" s="183">
        <v>7900</v>
      </c>
    </row>
    <row r="14" spans="1:13" x14ac:dyDescent="0.25">
      <c r="A14" s="85">
        <f t="shared" si="0"/>
        <v>12</v>
      </c>
      <c r="B14" s="1" t="s">
        <v>25</v>
      </c>
      <c r="C14" s="4" t="s">
        <v>383</v>
      </c>
      <c r="D14" s="70" t="s">
        <v>5</v>
      </c>
      <c r="E14" s="96">
        <v>1059</v>
      </c>
      <c r="F14" s="96">
        <v>1069</v>
      </c>
      <c r="G14" s="87">
        <v>10</v>
      </c>
      <c r="H14" s="183">
        <v>10000</v>
      </c>
      <c r="I14" s="177">
        <v>10000</v>
      </c>
      <c r="J14" s="178">
        <v>20000</v>
      </c>
      <c r="K14" s="165"/>
      <c r="L14" s="1"/>
      <c r="M14" s="183">
        <v>20000</v>
      </c>
    </row>
    <row r="15" spans="1:13" x14ac:dyDescent="0.25">
      <c r="A15" s="85">
        <f t="shared" si="0"/>
        <v>13</v>
      </c>
      <c r="B15" s="1" t="s">
        <v>26</v>
      </c>
      <c r="C15" s="4" t="s">
        <v>384</v>
      </c>
      <c r="D15" s="70" t="s">
        <v>5</v>
      </c>
      <c r="E15" s="96">
        <v>2332</v>
      </c>
      <c r="F15" s="96">
        <v>2332</v>
      </c>
      <c r="G15" s="87">
        <v>0</v>
      </c>
      <c r="H15" s="183">
        <v>0</v>
      </c>
      <c r="I15" s="177">
        <v>3000</v>
      </c>
      <c r="J15" s="178">
        <v>3000</v>
      </c>
      <c r="K15" s="177">
        <v>3000</v>
      </c>
      <c r="L15" s="1" t="s">
        <v>424</v>
      </c>
      <c r="M15" s="183">
        <v>0</v>
      </c>
    </row>
    <row r="16" spans="1:13" x14ac:dyDescent="0.25">
      <c r="A16" s="85">
        <f t="shared" si="0"/>
        <v>14</v>
      </c>
      <c r="B16" s="1" t="s">
        <v>381</v>
      </c>
      <c r="C16" s="4" t="s">
        <v>386</v>
      </c>
      <c r="D16" s="70" t="s">
        <v>5</v>
      </c>
      <c r="E16" s="96">
        <v>2045</v>
      </c>
      <c r="F16" s="96">
        <v>2257</v>
      </c>
      <c r="G16" s="87">
        <v>12</v>
      </c>
      <c r="H16" s="183">
        <v>0</v>
      </c>
      <c r="I16" s="177">
        <v>11400</v>
      </c>
      <c r="J16" s="178">
        <v>11400</v>
      </c>
      <c r="K16" s="177">
        <v>11400</v>
      </c>
      <c r="L16" s="1" t="s">
        <v>434</v>
      </c>
      <c r="M16" s="183">
        <v>0</v>
      </c>
    </row>
    <row r="17" spans="1:15" x14ac:dyDescent="0.25">
      <c r="A17" s="85">
        <f t="shared" si="0"/>
        <v>15</v>
      </c>
      <c r="B17" s="31" t="s">
        <v>367</v>
      </c>
      <c r="C17" s="4" t="s">
        <v>385</v>
      </c>
      <c r="D17" s="70" t="s">
        <v>5</v>
      </c>
      <c r="E17" s="96">
        <v>2252</v>
      </c>
      <c r="F17" s="96">
        <v>2252</v>
      </c>
      <c r="G17" s="87">
        <v>0</v>
      </c>
      <c r="H17" s="183">
        <v>3000</v>
      </c>
      <c r="I17" s="177">
        <v>3000</v>
      </c>
      <c r="J17" s="178">
        <v>6000</v>
      </c>
      <c r="K17" s="165"/>
      <c r="L17" s="1"/>
      <c r="M17" s="183">
        <v>6000</v>
      </c>
    </row>
    <row r="18" spans="1:15" x14ac:dyDescent="0.25">
      <c r="A18" s="85">
        <f t="shared" si="0"/>
        <v>16</v>
      </c>
      <c r="B18" s="1" t="s">
        <v>29</v>
      </c>
      <c r="C18" s="4" t="s">
        <v>387</v>
      </c>
      <c r="D18" s="70" t="s">
        <v>7</v>
      </c>
      <c r="E18" s="96">
        <v>1099</v>
      </c>
      <c r="F18" s="96">
        <v>1099</v>
      </c>
      <c r="G18" s="87">
        <v>0</v>
      </c>
      <c r="H18" s="166">
        <v>0</v>
      </c>
      <c r="I18" s="177">
        <v>3000</v>
      </c>
      <c r="J18" s="178">
        <v>3000</v>
      </c>
      <c r="K18" s="177"/>
      <c r="L18" s="1"/>
      <c r="M18" s="183">
        <v>3000</v>
      </c>
    </row>
    <row r="19" spans="1:15" x14ac:dyDescent="0.25">
      <c r="A19" s="85">
        <f t="shared" si="0"/>
        <v>17</v>
      </c>
      <c r="B19" s="1" t="s">
        <v>30</v>
      </c>
      <c r="C19" s="4" t="s">
        <v>388</v>
      </c>
      <c r="D19" s="70" t="s">
        <v>5</v>
      </c>
      <c r="E19" s="96">
        <v>864</v>
      </c>
      <c r="F19" s="96">
        <v>864</v>
      </c>
      <c r="G19" s="87">
        <v>0</v>
      </c>
      <c r="H19" s="183">
        <v>6000</v>
      </c>
      <c r="I19" s="177">
        <v>3000</v>
      </c>
      <c r="J19" s="178">
        <v>9000</v>
      </c>
      <c r="K19" s="165"/>
      <c r="L19" s="1"/>
      <c r="M19" s="183">
        <v>9000</v>
      </c>
    </row>
    <row r="20" spans="1:15" x14ac:dyDescent="0.25">
      <c r="A20" s="85">
        <f t="shared" si="0"/>
        <v>18</v>
      </c>
      <c r="B20" s="1" t="s">
        <v>338</v>
      </c>
      <c r="C20" s="4" t="s">
        <v>339</v>
      </c>
      <c r="D20" s="70" t="s">
        <v>5</v>
      </c>
      <c r="E20" s="96">
        <v>1467</v>
      </c>
      <c r="F20" s="96">
        <v>1485</v>
      </c>
      <c r="G20" s="87">
        <v>18</v>
      </c>
      <c r="H20" s="183">
        <v>17700</v>
      </c>
      <c r="I20" s="177">
        <v>16650</v>
      </c>
      <c r="J20" s="178">
        <v>34350</v>
      </c>
      <c r="K20" s="165"/>
      <c r="L20" s="1"/>
      <c r="M20" s="183">
        <v>34350</v>
      </c>
    </row>
    <row r="21" spans="1:15" x14ac:dyDescent="0.25">
      <c r="A21" s="85">
        <f t="shared" si="0"/>
        <v>19</v>
      </c>
      <c r="B21" s="1" t="s">
        <v>32</v>
      </c>
      <c r="C21" s="4" t="s">
        <v>389</v>
      </c>
      <c r="D21" s="70" t="s">
        <v>5</v>
      </c>
      <c r="E21" s="96">
        <v>3</v>
      </c>
      <c r="F21" s="96">
        <v>3</v>
      </c>
      <c r="G21" s="87">
        <v>0</v>
      </c>
      <c r="H21" s="183">
        <v>11000</v>
      </c>
      <c r="I21" s="177">
        <v>3000</v>
      </c>
      <c r="J21" s="178">
        <v>14000</v>
      </c>
      <c r="K21" s="165"/>
      <c r="L21" s="1"/>
      <c r="M21" s="183">
        <v>14000</v>
      </c>
    </row>
    <row r="22" spans="1:15" x14ac:dyDescent="0.25">
      <c r="A22" s="85">
        <f t="shared" si="0"/>
        <v>20</v>
      </c>
      <c r="B22" s="1" t="s">
        <v>33</v>
      </c>
      <c r="C22" s="4" t="s">
        <v>390</v>
      </c>
      <c r="D22" s="70" t="s">
        <v>5</v>
      </c>
      <c r="E22" s="96">
        <v>2132</v>
      </c>
      <c r="F22" s="96">
        <v>2148</v>
      </c>
      <c r="G22" s="87">
        <v>16</v>
      </c>
      <c r="H22" s="183">
        <v>0</v>
      </c>
      <c r="I22" s="177">
        <v>14550</v>
      </c>
      <c r="J22" s="178">
        <v>14550</v>
      </c>
      <c r="K22" s="177"/>
      <c r="L22" s="1"/>
      <c r="M22" s="183">
        <v>14550</v>
      </c>
    </row>
    <row r="23" spans="1:15" x14ac:dyDescent="0.25">
      <c r="A23" s="85">
        <f t="shared" si="0"/>
        <v>21</v>
      </c>
      <c r="B23" s="179" t="s">
        <v>372</v>
      </c>
      <c r="C23" s="210" t="s">
        <v>391</v>
      </c>
      <c r="D23" s="181" t="s">
        <v>5</v>
      </c>
      <c r="E23" s="182">
        <v>3187</v>
      </c>
      <c r="F23" s="182">
        <v>1491</v>
      </c>
      <c r="G23" s="87">
        <v>4</v>
      </c>
      <c r="H23" s="183">
        <v>7590</v>
      </c>
      <c r="I23" s="177">
        <v>5800</v>
      </c>
      <c r="J23" s="178">
        <v>13390</v>
      </c>
      <c r="K23" s="165">
        <v>13390</v>
      </c>
      <c r="L23" s="1" t="s">
        <v>434</v>
      </c>
      <c r="M23" s="183">
        <v>7590</v>
      </c>
    </row>
    <row r="24" spans="1:15" x14ac:dyDescent="0.25">
      <c r="A24" s="85">
        <f t="shared" si="0"/>
        <v>22</v>
      </c>
      <c r="B24" s="1" t="s">
        <v>35</v>
      </c>
      <c r="C24" s="4" t="s">
        <v>340</v>
      </c>
      <c r="D24" s="70" t="s">
        <v>5</v>
      </c>
      <c r="E24" s="96">
        <v>88</v>
      </c>
      <c r="F24" s="96">
        <v>88</v>
      </c>
      <c r="G24" s="87">
        <v>0</v>
      </c>
      <c r="H24" s="166">
        <v>0</v>
      </c>
      <c r="I24" s="177">
        <v>3000</v>
      </c>
      <c r="J24" s="178">
        <v>3000</v>
      </c>
      <c r="K24" s="177"/>
      <c r="L24" s="1"/>
      <c r="M24" s="183">
        <v>3000</v>
      </c>
    </row>
    <row r="25" spans="1:15" x14ac:dyDescent="0.25">
      <c r="A25" s="159">
        <f t="shared" si="0"/>
        <v>23</v>
      </c>
      <c r="B25" s="160" t="s">
        <v>36</v>
      </c>
      <c r="C25" s="161" t="s">
        <v>341</v>
      </c>
      <c r="D25" s="154" t="s">
        <v>5</v>
      </c>
      <c r="E25" s="155">
        <v>1790</v>
      </c>
      <c r="F25" s="160">
        <v>1810</v>
      </c>
      <c r="G25" s="156">
        <v>20</v>
      </c>
      <c r="H25" s="164">
        <v>7580</v>
      </c>
      <c r="I25" s="164">
        <v>12000</v>
      </c>
      <c r="J25" s="176">
        <v>19580</v>
      </c>
      <c r="K25" s="164">
        <v>19850</v>
      </c>
      <c r="L25" s="160" t="s">
        <v>424</v>
      </c>
      <c r="M25" s="164">
        <v>7580</v>
      </c>
    </row>
    <row r="26" spans="1:15" x14ac:dyDescent="0.25">
      <c r="A26" s="85">
        <f t="shared" si="0"/>
        <v>24</v>
      </c>
      <c r="B26" s="1" t="s">
        <v>37</v>
      </c>
      <c r="C26" s="4" t="s">
        <v>342</v>
      </c>
      <c r="D26" s="70" t="s">
        <v>5</v>
      </c>
      <c r="E26" s="96">
        <v>586</v>
      </c>
      <c r="F26" s="96">
        <v>597</v>
      </c>
      <c r="G26" s="87">
        <v>11</v>
      </c>
      <c r="H26" s="183">
        <v>0</v>
      </c>
      <c r="I26" s="177">
        <v>10700</v>
      </c>
      <c r="J26" s="178">
        <v>10700</v>
      </c>
      <c r="K26" s="177">
        <v>10700</v>
      </c>
      <c r="L26" s="1" t="s">
        <v>424</v>
      </c>
      <c r="M26" s="183">
        <v>0</v>
      </c>
    </row>
    <row r="27" spans="1:15" x14ac:dyDescent="0.25">
      <c r="A27" s="85">
        <f t="shared" si="0"/>
        <v>25</v>
      </c>
      <c r="B27" s="1" t="s">
        <v>38</v>
      </c>
      <c r="C27" s="4" t="s">
        <v>343</v>
      </c>
      <c r="D27" s="70" t="s">
        <v>5</v>
      </c>
      <c r="E27" s="96">
        <v>806</v>
      </c>
      <c r="F27" s="96">
        <v>818</v>
      </c>
      <c r="G27" s="87">
        <v>12</v>
      </c>
      <c r="H27" s="189">
        <v>10</v>
      </c>
      <c r="I27" s="177">
        <v>11400</v>
      </c>
      <c r="J27" s="178">
        <v>22080</v>
      </c>
      <c r="K27" s="165"/>
      <c r="L27" s="1"/>
      <c r="M27" s="232">
        <v>32770</v>
      </c>
    </row>
    <row r="28" spans="1:15" x14ac:dyDescent="0.25">
      <c r="A28" s="85">
        <f t="shared" si="0"/>
        <v>26</v>
      </c>
      <c r="B28" s="1" t="s">
        <v>39</v>
      </c>
      <c r="C28" s="4" t="s">
        <v>344</v>
      </c>
      <c r="D28" s="70" t="s">
        <v>5</v>
      </c>
      <c r="E28" s="96">
        <v>1923</v>
      </c>
      <c r="F28" s="96">
        <v>1923</v>
      </c>
      <c r="G28" s="87">
        <v>0</v>
      </c>
      <c r="H28" s="183">
        <v>15300</v>
      </c>
      <c r="I28" s="177">
        <v>3000</v>
      </c>
      <c r="J28" s="178">
        <v>18300</v>
      </c>
      <c r="K28" s="165"/>
      <c r="L28" s="1"/>
      <c r="M28" s="183">
        <v>18300</v>
      </c>
    </row>
    <row r="29" spans="1:15" x14ac:dyDescent="0.25">
      <c r="A29" s="85">
        <f t="shared" si="0"/>
        <v>27</v>
      </c>
      <c r="B29" s="1" t="s">
        <v>40</v>
      </c>
      <c r="C29" s="4" t="s">
        <v>345</v>
      </c>
      <c r="D29" s="70" t="s">
        <v>5</v>
      </c>
      <c r="E29" s="96">
        <v>3151</v>
      </c>
      <c r="F29" s="96">
        <v>3158</v>
      </c>
      <c r="G29" s="87">
        <v>7</v>
      </c>
      <c r="H29" s="183">
        <v>105800</v>
      </c>
      <c r="I29" s="177">
        <v>7900</v>
      </c>
      <c r="J29" s="178">
        <v>113700</v>
      </c>
      <c r="K29" s="177">
        <v>50000</v>
      </c>
      <c r="L29" s="1" t="s">
        <v>424</v>
      </c>
      <c r="M29" s="183">
        <v>63700</v>
      </c>
    </row>
    <row r="30" spans="1:15" x14ac:dyDescent="0.25">
      <c r="A30" s="85">
        <f t="shared" si="0"/>
        <v>28</v>
      </c>
      <c r="B30" s="1" t="s">
        <v>41</v>
      </c>
      <c r="C30" s="4"/>
      <c r="D30" s="70" t="s">
        <v>5</v>
      </c>
      <c r="E30" s="96">
        <v>2450</v>
      </c>
      <c r="F30" s="96">
        <v>2470</v>
      </c>
      <c r="G30" s="87">
        <v>20</v>
      </c>
      <c r="H30" s="183">
        <v>25050</v>
      </c>
      <c r="I30" s="177">
        <v>18750</v>
      </c>
      <c r="J30" s="178">
        <v>43800</v>
      </c>
      <c r="K30" s="177">
        <v>43800</v>
      </c>
      <c r="L30" s="1" t="s">
        <v>435</v>
      </c>
      <c r="M30" s="183">
        <v>0</v>
      </c>
      <c r="O30" s="224"/>
    </row>
    <row r="31" spans="1:15" x14ac:dyDescent="0.25">
      <c r="A31" s="85">
        <f t="shared" si="0"/>
        <v>29</v>
      </c>
      <c r="B31" s="1" t="s">
        <v>42</v>
      </c>
      <c r="C31" s="4" t="s">
        <v>346</v>
      </c>
      <c r="D31" s="70" t="s">
        <v>5</v>
      </c>
      <c r="E31" s="96">
        <v>3911</v>
      </c>
      <c r="F31" s="96">
        <v>3925</v>
      </c>
      <c r="G31" s="87">
        <v>14</v>
      </c>
      <c r="H31" s="183">
        <v>0</v>
      </c>
      <c r="I31" s="177">
        <v>12800</v>
      </c>
      <c r="J31" s="178">
        <v>18300</v>
      </c>
      <c r="K31" s="177">
        <v>12800</v>
      </c>
      <c r="L31" s="1" t="s">
        <v>424</v>
      </c>
      <c r="M31" s="183">
        <v>40000</v>
      </c>
    </row>
    <row r="32" spans="1:15" x14ac:dyDescent="0.25">
      <c r="A32" s="85">
        <f t="shared" si="0"/>
        <v>30</v>
      </c>
      <c r="B32" s="1" t="s">
        <v>43</v>
      </c>
      <c r="C32" s="4" t="s">
        <v>347</v>
      </c>
      <c r="D32" s="70" t="s">
        <v>5</v>
      </c>
      <c r="E32" s="96">
        <v>2998</v>
      </c>
      <c r="F32" s="96">
        <v>3041</v>
      </c>
      <c r="G32" s="87">
        <v>43</v>
      </c>
      <c r="H32" s="183">
        <v>16000</v>
      </c>
      <c r="I32" s="177">
        <v>47450</v>
      </c>
      <c r="J32" s="178">
        <v>63450</v>
      </c>
      <c r="K32" s="177">
        <v>63450</v>
      </c>
      <c r="L32" s="1" t="s">
        <v>434</v>
      </c>
      <c r="M32" s="183">
        <v>16000</v>
      </c>
    </row>
    <row r="33" spans="1:14" x14ac:dyDescent="0.25">
      <c r="A33" s="85">
        <f t="shared" si="0"/>
        <v>31</v>
      </c>
      <c r="B33" s="1" t="s">
        <v>44</v>
      </c>
      <c r="C33" s="4" t="s">
        <v>348</v>
      </c>
      <c r="D33" s="70" t="s">
        <v>5</v>
      </c>
      <c r="E33" s="96">
        <v>4790</v>
      </c>
      <c r="F33" s="96">
        <v>4836</v>
      </c>
      <c r="G33" s="87">
        <v>46</v>
      </c>
      <c r="H33" s="183">
        <v>61650</v>
      </c>
      <c r="I33" s="177">
        <v>51650</v>
      </c>
      <c r="J33" s="178">
        <v>113300</v>
      </c>
      <c r="K33" s="165"/>
      <c r="L33" s="1"/>
      <c r="M33" s="193">
        <v>113300</v>
      </c>
    </row>
    <row r="34" spans="1:14" x14ac:dyDescent="0.25">
      <c r="A34" s="85">
        <f t="shared" si="0"/>
        <v>32</v>
      </c>
      <c r="B34" s="1" t="s">
        <v>45</v>
      </c>
      <c r="C34" s="4" t="s">
        <v>392</v>
      </c>
      <c r="D34" s="70" t="s">
        <v>5</v>
      </c>
      <c r="E34" s="96">
        <v>817</v>
      </c>
      <c r="F34" s="96">
        <v>817</v>
      </c>
      <c r="G34" s="87">
        <v>0</v>
      </c>
      <c r="H34" s="183">
        <v>6500</v>
      </c>
      <c r="I34" s="177">
        <v>3000</v>
      </c>
      <c r="J34" s="178">
        <v>9500</v>
      </c>
      <c r="K34" s="165"/>
      <c r="L34" s="1"/>
      <c r="M34" s="183">
        <v>9500</v>
      </c>
    </row>
    <row r="35" spans="1:14" x14ac:dyDescent="0.25">
      <c r="A35" s="85">
        <f t="shared" si="0"/>
        <v>33</v>
      </c>
      <c r="B35" s="179" t="s">
        <v>360</v>
      </c>
      <c r="C35" s="210" t="s">
        <v>393</v>
      </c>
      <c r="D35" s="181" t="s">
        <v>5</v>
      </c>
      <c r="E35" s="182">
        <v>4455</v>
      </c>
      <c r="F35" s="182">
        <v>4454</v>
      </c>
      <c r="G35" s="87">
        <v>0</v>
      </c>
      <c r="H35" s="183">
        <v>6500</v>
      </c>
      <c r="I35" s="177">
        <v>3000</v>
      </c>
      <c r="J35" s="177">
        <v>9500</v>
      </c>
      <c r="K35" s="165"/>
      <c r="L35" s="1"/>
      <c r="M35" s="183">
        <v>9500</v>
      </c>
    </row>
    <row r="36" spans="1:14" x14ac:dyDescent="0.25">
      <c r="A36" s="85">
        <f t="shared" si="0"/>
        <v>34</v>
      </c>
      <c r="B36" s="1" t="s">
        <v>46</v>
      </c>
      <c r="C36" s="4" t="s">
        <v>394</v>
      </c>
      <c r="D36" s="70" t="s">
        <v>5</v>
      </c>
      <c r="E36" s="96">
        <v>1030</v>
      </c>
      <c r="F36" s="96">
        <v>1073</v>
      </c>
      <c r="G36" s="87">
        <v>43</v>
      </c>
      <c r="H36" s="183">
        <v>0</v>
      </c>
      <c r="I36" s="177">
        <v>47450</v>
      </c>
      <c r="J36" s="178">
        <v>47450</v>
      </c>
      <c r="K36" s="177">
        <v>47450</v>
      </c>
      <c r="L36" s="1" t="s">
        <v>424</v>
      </c>
      <c r="M36" s="183">
        <v>0</v>
      </c>
    </row>
    <row r="37" spans="1:14" x14ac:dyDescent="0.25">
      <c r="A37" s="85">
        <f t="shared" si="0"/>
        <v>35</v>
      </c>
      <c r="B37" s="1" t="s">
        <v>47</v>
      </c>
      <c r="C37" s="4" t="s">
        <v>395</v>
      </c>
      <c r="D37" s="70" t="s">
        <v>5</v>
      </c>
      <c r="E37" s="96">
        <v>4341</v>
      </c>
      <c r="F37" s="96">
        <v>4534</v>
      </c>
      <c r="G37" s="87">
        <v>20</v>
      </c>
      <c r="H37" s="166">
        <v>0</v>
      </c>
      <c r="I37" s="177">
        <v>18750</v>
      </c>
      <c r="J37" s="177">
        <v>18750</v>
      </c>
      <c r="K37" s="177">
        <v>18750</v>
      </c>
      <c r="L37" s="1" t="s">
        <v>434</v>
      </c>
      <c r="M37" s="183">
        <v>0</v>
      </c>
    </row>
    <row r="38" spans="1:14" x14ac:dyDescent="0.25">
      <c r="A38" s="159">
        <f t="shared" si="0"/>
        <v>36</v>
      </c>
      <c r="B38" s="160" t="s">
        <v>48</v>
      </c>
      <c r="C38" s="161" t="s">
        <v>396</v>
      </c>
      <c r="D38" s="154" t="s">
        <v>5</v>
      </c>
      <c r="E38" s="155">
        <v>1099</v>
      </c>
      <c r="F38" s="155">
        <v>1104</v>
      </c>
      <c r="G38" s="156">
        <v>5</v>
      </c>
      <c r="H38" s="164">
        <v>0</v>
      </c>
      <c r="I38" s="164">
        <v>3250</v>
      </c>
      <c r="J38" s="176">
        <v>10840</v>
      </c>
      <c r="K38" s="164">
        <v>10840</v>
      </c>
      <c r="L38" s="160" t="s">
        <v>434</v>
      </c>
      <c r="M38" s="176">
        <v>7590</v>
      </c>
    </row>
    <row r="39" spans="1:14" x14ac:dyDescent="0.25">
      <c r="A39" s="159">
        <f t="shared" si="0"/>
        <v>37</v>
      </c>
      <c r="B39" s="160" t="s">
        <v>398</v>
      </c>
      <c r="C39" s="161" t="s">
        <v>397</v>
      </c>
      <c r="D39" s="154" t="s">
        <v>5</v>
      </c>
      <c r="E39" s="155">
        <v>2902</v>
      </c>
      <c r="F39" s="155">
        <v>2920</v>
      </c>
      <c r="G39" s="156">
        <v>18</v>
      </c>
      <c r="H39" s="160">
        <v>0</v>
      </c>
      <c r="I39" s="164">
        <v>9900</v>
      </c>
      <c r="J39" s="176">
        <v>9900</v>
      </c>
      <c r="K39" s="160"/>
      <c r="L39" s="160"/>
      <c r="M39" s="164">
        <v>9900</v>
      </c>
    </row>
    <row r="40" spans="1:14" x14ac:dyDescent="0.25">
      <c r="A40" s="85">
        <f t="shared" si="0"/>
        <v>38</v>
      </c>
      <c r="B40" s="1" t="s">
        <v>50</v>
      </c>
      <c r="C40" s="4" t="s">
        <v>400</v>
      </c>
      <c r="D40" s="70" t="s">
        <v>5</v>
      </c>
      <c r="E40" s="96">
        <v>2375</v>
      </c>
      <c r="F40" s="96">
        <v>2379</v>
      </c>
      <c r="G40" s="87">
        <v>4</v>
      </c>
      <c r="H40" s="183">
        <v>6000</v>
      </c>
      <c r="I40" s="177">
        <v>5800</v>
      </c>
      <c r="J40" s="178">
        <v>11800</v>
      </c>
      <c r="K40" s="165"/>
      <c r="L40" s="1"/>
      <c r="M40" s="183">
        <v>11800</v>
      </c>
    </row>
    <row r="41" spans="1:14" x14ac:dyDescent="0.25">
      <c r="A41" s="85">
        <f t="shared" si="0"/>
        <v>39</v>
      </c>
      <c r="B41" s="1" t="s">
        <v>51</v>
      </c>
      <c r="C41" s="4" t="s">
        <v>401</v>
      </c>
      <c r="D41" s="70" t="s">
        <v>5</v>
      </c>
      <c r="E41" s="96">
        <v>4269</v>
      </c>
      <c r="F41" s="96">
        <v>4287</v>
      </c>
      <c r="G41" s="87">
        <v>18</v>
      </c>
      <c r="H41" s="183">
        <v>0</v>
      </c>
      <c r="I41" s="177">
        <v>16650</v>
      </c>
      <c r="J41" s="178">
        <v>16650</v>
      </c>
      <c r="K41" s="177">
        <v>16650</v>
      </c>
      <c r="L41" s="1" t="s">
        <v>434</v>
      </c>
      <c r="M41" s="183">
        <v>0</v>
      </c>
    </row>
    <row r="42" spans="1:14" x14ac:dyDescent="0.25">
      <c r="A42" s="159">
        <f t="shared" si="0"/>
        <v>40</v>
      </c>
      <c r="B42" s="160" t="s">
        <v>365</v>
      </c>
      <c r="C42" s="161" t="s">
        <v>402</v>
      </c>
      <c r="D42" s="154" t="s">
        <v>5</v>
      </c>
      <c r="E42" s="155">
        <v>4041</v>
      </c>
      <c r="F42" s="160">
        <v>4042</v>
      </c>
      <c r="G42" s="156">
        <v>1</v>
      </c>
      <c r="H42" s="164">
        <v>0</v>
      </c>
      <c r="I42" s="164">
        <v>1850</v>
      </c>
      <c r="J42" s="176">
        <v>1850</v>
      </c>
      <c r="K42" s="164"/>
      <c r="L42" s="160"/>
      <c r="M42" s="164">
        <v>1850</v>
      </c>
    </row>
    <row r="43" spans="1:14" x14ac:dyDescent="0.25">
      <c r="A43" s="85">
        <f t="shared" si="0"/>
        <v>41</v>
      </c>
      <c r="B43" s="1" t="s">
        <v>444</v>
      </c>
      <c r="C43" s="4" t="s">
        <v>403</v>
      </c>
      <c r="D43" s="70" t="s">
        <v>5</v>
      </c>
      <c r="E43" s="96">
        <v>2281</v>
      </c>
      <c r="F43" s="96">
        <v>2317</v>
      </c>
      <c r="G43" s="87">
        <v>36</v>
      </c>
      <c r="H43" s="183">
        <v>0</v>
      </c>
      <c r="I43" s="177">
        <v>37650</v>
      </c>
      <c r="J43" s="178">
        <v>37650</v>
      </c>
      <c r="K43" s="177">
        <v>37650</v>
      </c>
      <c r="L43" s="1" t="s">
        <v>434</v>
      </c>
      <c r="M43" s="183">
        <v>0</v>
      </c>
    </row>
    <row r="44" spans="1:14" x14ac:dyDescent="0.25">
      <c r="A44" s="159">
        <f t="shared" si="0"/>
        <v>42</v>
      </c>
      <c r="B44" s="160" t="s">
        <v>54</v>
      </c>
      <c r="C44" s="161" t="s">
        <v>404</v>
      </c>
      <c r="D44" s="154" t="s">
        <v>5</v>
      </c>
      <c r="E44" s="155">
        <v>1660</v>
      </c>
      <c r="F44" s="160">
        <v>1677</v>
      </c>
      <c r="G44" s="156">
        <v>17</v>
      </c>
      <c r="H44" s="164">
        <v>0</v>
      </c>
      <c r="I44" s="164">
        <v>8850</v>
      </c>
      <c r="J44" s="176">
        <v>8850</v>
      </c>
      <c r="K44" s="164">
        <v>8850</v>
      </c>
      <c r="L44" s="160" t="s">
        <v>434</v>
      </c>
      <c r="M44" s="164">
        <v>7590</v>
      </c>
      <c r="N44" t="s">
        <v>440</v>
      </c>
    </row>
    <row r="45" spans="1:14" x14ac:dyDescent="0.25">
      <c r="A45" s="85">
        <f t="shared" si="0"/>
        <v>43</v>
      </c>
      <c r="B45" s="179" t="s">
        <v>55</v>
      </c>
      <c r="C45" s="210" t="s">
        <v>405</v>
      </c>
      <c r="D45" s="181" t="s">
        <v>5</v>
      </c>
      <c r="E45" s="182">
        <v>1115</v>
      </c>
      <c r="F45" s="182">
        <v>1146</v>
      </c>
      <c r="G45" s="216">
        <v>31</v>
      </c>
      <c r="H45" s="183">
        <v>0</v>
      </c>
      <c r="I45" s="177">
        <v>30650</v>
      </c>
      <c r="J45" s="178">
        <v>30650</v>
      </c>
      <c r="K45" s="177">
        <v>30000</v>
      </c>
      <c r="L45" s="1" t="s">
        <v>434</v>
      </c>
      <c r="M45" s="183">
        <v>650</v>
      </c>
    </row>
    <row r="46" spans="1:14" x14ac:dyDescent="0.25">
      <c r="A46" s="85">
        <f t="shared" si="0"/>
        <v>44</v>
      </c>
      <c r="B46" s="1" t="s">
        <v>56</v>
      </c>
      <c r="C46" s="5" t="s">
        <v>406</v>
      </c>
      <c r="D46" s="70" t="s">
        <v>5</v>
      </c>
      <c r="E46" s="96">
        <v>406</v>
      </c>
      <c r="F46" s="96">
        <v>419</v>
      </c>
      <c r="G46" s="87">
        <v>13</v>
      </c>
      <c r="H46" s="110">
        <v>9100</v>
      </c>
      <c r="I46" s="177">
        <v>12100</v>
      </c>
      <c r="J46" s="178">
        <v>21200</v>
      </c>
      <c r="K46" s="177">
        <v>21200</v>
      </c>
      <c r="L46" s="1" t="s">
        <v>434</v>
      </c>
      <c r="M46" s="110">
        <v>9100</v>
      </c>
    </row>
    <row r="47" spans="1:14" x14ac:dyDescent="0.25">
      <c r="A47" s="159">
        <f t="shared" si="0"/>
        <v>45</v>
      </c>
      <c r="B47" s="160" t="s">
        <v>57</v>
      </c>
      <c r="C47" s="161" t="s">
        <v>407</v>
      </c>
      <c r="D47" s="154" t="s">
        <v>5</v>
      </c>
      <c r="E47" s="155">
        <v>3789</v>
      </c>
      <c r="F47" s="155">
        <v>3809</v>
      </c>
      <c r="G47" s="156">
        <v>20</v>
      </c>
      <c r="H47" s="176">
        <v>0</v>
      </c>
      <c r="I47" s="164">
        <v>12000</v>
      </c>
      <c r="J47" s="176">
        <v>12000</v>
      </c>
      <c r="K47" s="160"/>
      <c r="L47" s="160"/>
      <c r="M47" s="164">
        <v>12000</v>
      </c>
    </row>
    <row r="48" spans="1:14" x14ac:dyDescent="0.25">
      <c r="A48" s="85">
        <f t="shared" si="0"/>
        <v>46</v>
      </c>
      <c r="B48" s="1" t="s">
        <v>350</v>
      </c>
      <c r="C48" s="4"/>
      <c r="D48" s="70" t="s">
        <v>5</v>
      </c>
      <c r="E48" s="96">
        <v>1056</v>
      </c>
      <c r="F48" s="96">
        <v>1057</v>
      </c>
      <c r="G48" s="87">
        <v>1</v>
      </c>
      <c r="H48" s="183">
        <v>0</v>
      </c>
      <c r="I48" s="177">
        <v>3700</v>
      </c>
      <c r="J48" s="178">
        <v>3700</v>
      </c>
      <c r="K48" s="165"/>
      <c r="L48" s="1"/>
      <c r="M48" s="183">
        <v>3700</v>
      </c>
    </row>
    <row r="49" spans="1:13" x14ac:dyDescent="0.25">
      <c r="A49" s="85">
        <f t="shared" si="0"/>
        <v>47</v>
      </c>
      <c r="B49" s="1" t="s">
        <v>59</v>
      </c>
      <c r="C49" s="4" t="s">
        <v>408</v>
      </c>
      <c r="D49" s="70" t="s">
        <v>5</v>
      </c>
      <c r="E49" s="96">
        <v>512</v>
      </c>
      <c r="F49" s="96">
        <v>523</v>
      </c>
      <c r="G49" s="87">
        <v>11</v>
      </c>
      <c r="H49" s="183">
        <v>0</v>
      </c>
      <c r="I49" s="177">
        <v>10700</v>
      </c>
      <c r="J49" s="177">
        <v>10700</v>
      </c>
      <c r="K49" s="165">
        <v>10700</v>
      </c>
      <c r="L49" s="1" t="s">
        <v>435</v>
      </c>
      <c r="M49" s="183">
        <v>0</v>
      </c>
    </row>
    <row r="50" spans="1:13" x14ac:dyDescent="0.25">
      <c r="A50" s="85">
        <f t="shared" si="0"/>
        <v>48</v>
      </c>
      <c r="B50" s="179" t="s">
        <v>60</v>
      </c>
      <c r="C50" s="210" t="s">
        <v>409</v>
      </c>
      <c r="D50" s="181" t="s">
        <v>5</v>
      </c>
      <c r="E50" s="182">
        <v>3350</v>
      </c>
      <c r="F50" s="182">
        <v>3485</v>
      </c>
      <c r="G50" s="87">
        <v>20</v>
      </c>
      <c r="H50" s="166">
        <v>0</v>
      </c>
      <c r="I50" s="177">
        <v>18750</v>
      </c>
      <c r="J50" s="178">
        <v>18750</v>
      </c>
      <c r="K50" s="177">
        <v>18750</v>
      </c>
      <c r="L50" s="1" t="s">
        <v>434</v>
      </c>
      <c r="M50" s="183">
        <v>0</v>
      </c>
    </row>
    <row r="51" spans="1:13" x14ac:dyDescent="0.25">
      <c r="A51" s="85">
        <f>A50+1</f>
        <v>49</v>
      </c>
      <c r="B51" s="1" t="s">
        <v>351</v>
      </c>
      <c r="C51" s="4" t="s">
        <v>410</v>
      </c>
      <c r="D51" s="70" t="s">
        <v>5</v>
      </c>
      <c r="E51" s="96">
        <v>2374</v>
      </c>
      <c r="F51" s="96">
        <v>2375</v>
      </c>
      <c r="G51" s="87">
        <v>1</v>
      </c>
      <c r="H51" s="166">
        <v>0</v>
      </c>
      <c r="I51" s="177">
        <v>3700</v>
      </c>
      <c r="J51" s="178">
        <v>3700</v>
      </c>
      <c r="K51" s="177"/>
      <c r="L51" s="1"/>
      <c r="M51" s="183">
        <v>3700</v>
      </c>
    </row>
    <row r="52" spans="1:13" x14ac:dyDescent="0.25">
      <c r="A52" s="85">
        <f t="shared" ref="A52:A70" si="1">A51+1</f>
        <v>50</v>
      </c>
      <c r="B52" s="1" t="s">
        <v>61</v>
      </c>
      <c r="C52" s="4" t="s">
        <v>411</v>
      </c>
      <c r="D52" s="70" t="s">
        <v>5</v>
      </c>
      <c r="E52" s="96">
        <v>705</v>
      </c>
      <c r="F52" s="96">
        <v>712</v>
      </c>
      <c r="G52" s="87">
        <v>7</v>
      </c>
      <c r="H52" s="192">
        <v>700</v>
      </c>
      <c r="I52" s="177">
        <v>7900</v>
      </c>
      <c r="J52" s="178">
        <v>7200</v>
      </c>
      <c r="K52" s="266">
        <v>7900</v>
      </c>
      <c r="L52" s="1" t="s">
        <v>435</v>
      </c>
      <c r="M52" s="192">
        <v>700</v>
      </c>
    </row>
    <row r="53" spans="1:13" x14ac:dyDescent="0.25">
      <c r="A53" s="85">
        <f t="shared" si="1"/>
        <v>51</v>
      </c>
      <c r="B53" s="1" t="s">
        <v>62</v>
      </c>
      <c r="C53" s="4" t="s">
        <v>412</v>
      </c>
      <c r="D53" s="70" t="s">
        <v>5</v>
      </c>
      <c r="E53" s="96">
        <v>1766</v>
      </c>
      <c r="F53" s="96">
        <v>1767</v>
      </c>
      <c r="G53" s="87">
        <v>1</v>
      </c>
      <c r="H53" s="183">
        <v>6500</v>
      </c>
      <c r="I53" s="177">
        <v>3700</v>
      </c>
      <c r="J53" s="178">
        <v>10200</v>
      </c>
      <c r="K53" s="165"/>
      <c r="L53" s="1"/>
      <c r="M53" s="183">
        <v>10200</v>
      </c>
    </row>
    <row r="54" spans="1:13" x14ac:dyDescent="0.25">
      <c r="A54" s="85">
        <f t="shared" si="1"/>
        <v>52</v>
      </c>
      <c r="B54" s="1" t="s">
        <v>63</v>
      </c>
      <c r="C54" s="162" t="s">
        <v>413</v>
      </c>
      <c r="D54" s="70" t="s">
        <v>5</v>
      </c>
      <c r="E54" s="96">
        <v>1482</v>
      </c>
      <c r="F54" s="96">
        <v>1494</v>
      </c>
      <c r="G54" s="87">
        <v>12</v>
      </c>
      <c r="H54" s="183">
        <v>35540</v>
      </c>
      <c r="I54" s="177">
        <v>11400</v>
      </c>
      <c r="J54" s="178">
        <v>57040</v>
      </c>
      <c r="K54" s="177"/>
      <c r="L54" s="1"/>
      <c r="M54" s="183">
        <v>80480</v>
      </c>
    </row>
    <row r="55" spans="1:13" x14ac:dyDescent="0.25">
      <c r="A55" s="85">
        <f t="shared" si="1"/>
        <v>53</v>
      </c>
      <c r="B55" s="1" t="s">
        <v>64</v>
      </c>
      <c r="C55" s="4" t="s">
        <v>414</v>
      </c>
      <c r="D55" s="70" t="s">
        <v>5</v>
      </c>
      <c r="E55" s="96">
        <v>723</v>
      </c>
      <c r="F55" s="96">
        <v>726</v>
      </c>
      <c r="G55" s="87">
        <v>3</v>
      </c>
      <c r="H55" s="183">
        <v>0</v>
      </c>
      <c r="I55" s="177">
        <v>5100</v>
      </c>
      <c r="J55" s="178">
        <v>5100</v>
      </c>
      <c r="K55" s="177">
        <v>5100</v>
      </c>
      <c r="L55" s="1" t="s">
        <v>424</v>
      </c>
      <c r="M55" s="183">
        <v>0</v>
      </c>
    </row>
    <row r="56" spans="1:13" x14ac:dyDescent="0.25">
      <c r="A56" s="85">
        <f t="shared" si="1"/>
        <v>54</v>
      </c>
      <c r="B56" s="1" t="s">
        <v>65</v>
      </c>
      <c r="C56" s="4" t="s">
        <v>415</v>
      </c>
      <c r="D56" s="70" t="s">
        <v>5</v>
      </c>
      <c r="E56" s="96">
        <v>1359</v>
      </c>
      <c r="F56" s="96">
        <v>1376</v>
      </c>
      <c r="G56" s="87">
        <v>17</v>
      </c>
      <c r="H56" s="110">
        <v>79990</v>
      </c>
      <c r="I56" s="177">
        <v>15600</v>
      </c>
      <c r="J56" s="178">
        <v>95590</v>
      </c>
      <c r="K56" s="177">
        <v>95590</v>
      </c>
      <c r="L56" s="1" t="s">
        <v>434</v>
      </c>
      <c r="M56" s="183">
        <v>0</v>
      </c>
    </row>
    <row r="57" spans="1:13" x14ac:dyDescent="0.25">
      <c r="A57" s="85">
        <f t="shared" si="1"/>
        <v>55</v>
      </c>
      <c r="B57" s="1" t="s">
        <v>66</v>
      </c>
      <c r="C57" s="4" t="s">
        <v>416</v>
      </c>
      <c r="D57" s="70" t="s">
        <v>5</v>
      </c>
      <c r="E57" s="96">
        <v>6292</v>
      </c>
      <c r="F57" s="96">
        <v>6296</v>
      </c>
      <c r="G57" s="87">
        <v>4</v>
      </c>
      <c r="H57" s="166">
        <v>0</v>
      </c>
      <c r="I57" s="177">
        <v>5800</v>
      </c>
      <c r="J57" s="178">
        <v>5800</v>
      </c>
      <c r="K57" s="177">
        <v>5800</v>
      </c>
      <c r="L57" s="1" t="s">
        <v>434</v>
      </c>
      <c r="M57" s="183">
        <v>0</v>
      </c>
    </row>
    <row r="58" spans="1:13" x14ac:dyDescent="0.25">
      <c r="A58" s="85">
        <f t="shared" si="1"/>
        <v>56</v>
      </c>
      <c r="B58" s="1" t="s">
        <v>67</v>
      </c>
      <c r="C58" s="4" t="s">
        <v>417</v>
      </c>
      <c r="D58" s="70" t="s">
        <v>5</v>
      </c>
      <c r="E58" s="96">
        <v>924</v>
      </c>
      <c r="F58" s="96">
        <v>9355</v>
      </c>
      <c r="G58" s="87">
        <v>11</v>
      </c>
      <c r="H58" s="183">
        <v>0</v>
      </c>
      <c r="I58" s="177">
        <v>10700</v>
      </c>
      <c r="J58" s="178">
        <v>26700</v>
      </c>
      <c r="K58" s="177">
        <v>26700</v>
      </c>
      <c r="L58" s="1" t="s">
        <v>434</v>
      </c>
      <c r="M58" s="183">
        <v>16000</v>
      </c>
    </row>
    <row r="59" spans="1:13" x14ac:dyDescent="0.25">
      <c r="A59" s="85">
        <f t="shared" si="1"/>
        <v>57</v>
      </c>
      <c r="B59" s="1" t="s">
        <v>368</v>
      </c>
      <c r="C59" s="4" t="s">
        <v>418</v>
      </c>
      <c r="D59" s="70" t="s">
        <v>5</v>
      </c>
      <c r="E59" s="96">
        <v>756</v>
      </c>
      <c r="F59" s="96">
        <v>760</v>
      </c>
      <c r="G59" s="87">
        <v>4</v>
      </c>
      <c r="H59" s="166">
        <v>0</v>
      </c>
      <c r="I59" s="177">
        <v>5800</v>
      </c>
      <c r="J59" s="178">
        <v>5800</v>
      </c>
      <c r="K59" s="177"/>
      <c r="L59" s="1"/>
      <c r="M59" s="183">
        <v>5800</v>
      </c>
    </row>
    <row r="60" spans="1:13" x14ac:dyDescent="0.25">
      <c r="A60" s="85">
        <f t="shared" si="1"/>
        <v>58</v>
      </c>
      <c r="B60" s="1" t="s">
        <v>69</v>
      </c>
      <c r="C60" s="4" t="s">
        <v>90</v>
      </c>
      <c r="D60" s="70" t="s">
        <v>5</v>
      </c>
      <c r="E60" s="96">
        <v>1411</v>
      </c>
      <c r="F60" s="96">
        <v>1431</v>
      </c>
      <c r="G60" s="87">
        <v>20</v>
      </c>
      <c r="H60" s="183">
        <v>26700</v>
      </c>
      <c r="I60" s="177">
        <v>18750</v>
      </c>
      <c r="J60" s="178">
        <v>45450</v>
      </c>
      <c r="K60" s="177">
        <v>45450</v>
      </c>
      <c r="L60" s="1" t="s">
        <v>434</v>
      </c>
      <c r="M60" s="183">
        <v>25290</v>
      </c>
    </row>
    <row r="61" spans="1:13" x14ac:dyDescent="0.25">
      <c r="A61" s="85">
        <f t="shared" si="1"/>
        <v>59</v>
      </c>
      <c r="B61" s="179" t="s">
        <v>70</v>
      </c>
      <c r="C61" s="211" t="s">
        <v>419</v>
      </c>
      <c r="D61" s="181" t="s">
        <v>5</v>
      </c>
      <c r="E61" s="182">
        <v>85</v>
      </c>
      <c r="F61" s="182">
        <v>221</v>
      </c>
      <c r="G61" s="87">
        <v>5</v>
      </c>
      <c r="H61" s="166">
        <v>0</v>
      </c>
      <c r="I61" s="177">
        <v>6500</v>
      </c>
      <c r="J61" s="178">
        <v>6500</v>
      </c>
      <c r="K61" s="165">
        <v>6500</v>
      </c>
      <c r="L61" s="1" t="s">
        <v>434</v>
      </c>
      <c r="M61" s="183">
        <v>0</v>
      </c>
    </row>
    <row r="62" spans="1:13" x14ac:dyDescent="0.25">
      <c r="A62" s="85">
        <f t="shared" si="1"/>
        <v>60</v>
      </c>
      <c r="B62" s="179" t="s">
        <v>431</v>
      </c>
      <c r="C62" s="210" t="s">
        <v>89</v>
      </c>
      <c r="D62" s="181" t="s">
        <v>5</v>
      </c>
      <c r="E62" s="182">
        <v>2315</v>
      </c>
      <c r="F62" s="182">
        <v>3054</v>
      </c>
      <c r="G62" s="87">
        <v>35</v>
      </c>
      <c r="H62" s="183">
        <v>44650</v>
      </c>
      <c r="I62" s="177">
        <v>36250</v>
      </c>
      <c r="J62" s="178">
        <v>80900</v>
      </c>
      <c r="K62" s="177">
        <v>80900</v>
      </c>
      <c r="L62" s="1" t="s">
        <v>434</v>
      </c>
      <c r="M62" s="183">
        <v>0</v>
      </c>
    </row>
    <row r="63" spans="1:13" x14ac:dyDescent="0.25">
      <c r="A63" s="85">
        <f t="shared" si="1"/>
        <v>61</v>
      </c>
      <c r="B63" s="1" t="s">
        <v>72</v>
      </c>
      <c r="C63" s="4" t="s">
        <v>88</v>
      </c>
      <c r="D63" s="70" t="s">
        <v>5</v>
      </c>
      <c r="E63" s="96">
        <v>8271</v>
      </c>
      <c r="F63" s="96">
        <v>8605</v>
      </c>
      <c r="G63" s="87">
        <v>334</v>
      </c>
      <c r="H63" s="166">
        <v>0</v>
      </c>
      <c r="I63" s="177">
        <v>332800</v>
      </c>
      <c r="J63" s="178">
        <v>332800</v>
      </c>
      <c r="K63" s="177">
        <v>332800</v>
      </c>
      <c r="L63" s="1" t="s">
        <v>434</v>
      </c>
      <c r="M63" s="183">
        <v>0</v>
      </c>
    </row>
    <row r="64" spans="1:13" x14ac:dyDescent="0.25">
      <c r="A64" s="85">
        <f t="shared" si="1"/>
        <v>62</v>
      </c>
      <c r="B64" s="1" t="s">
        <v>73</v>
      </c>
      <c r="C64" s="4" t="s">
        <v>87</v>
      </c>
      <c r="D64" s="70" t="s">
        <v>5</v>
      </c>
      <c r="E64" s="96">
        <v>122</v>
      </c>
      <c r="F64" s="96">
        <v>143</v>
      </c>
      <c r="G64" s="87">
        <v>21</v>
      </c>
      <c r="H64" s="166">
        <v>0</v>
      </c>
      <c r="I64" s="177">
        <v>19800</v>
      </c>
      <c r="J64" s="178">
        <v>19800</v>
      </c>
      <c r="K64" s="177">
        <v>19800</v>
      </c>
      <c r="L64" s="1" t="s">
        <v>434</v>
      </c>
      <c r="M64" s="183">
        <v>0</v>
      </c>
    </row>
    <row r="65" spans="1:13" x14ac:dyDescent="0.25">
      <c r="A65" s="85">
        <f t="shared" si="1"/>
        <v>63</v>
      </c>
      <c r="B65" s="1" t="s">
        <v>74</v>
      </c>
      <c r="C65" s="4" t="s">
        <v>86</v>
      </c>
      <c r="D65" s="70" t="s">
        <v>5</v>
      </c>
      <c r="E65" s="96">
        <v>22</v>
      </c>
      <c r="F65" s="96">
        <v>22</v>
      </c>
      <c r="G65" s="87">
        <v>0</v>
      </c>
      <c r="H65" s="166">
        <v>100</v>
      </c>
      <c r="I65" s="177">
        <v>3000</v>
      </c>
      <c r="J65" s="178">
        <v>3100</v>
      </c>
      <c r="K65" s="165"/>
      <c r="L65" s="1"/>
      <c r="M65" s="183">
        <v>3100</v>
      </c>
    </row>
    <row r="66" spans="1:13" x14ac:dyDescent="0.25">
      <c r="A66" s="85">
        <f t="shared" si="1"/>
        <v>64</v>
      </c>
      <c r="B66" s="1" t="s">
        <v>369</v>
      </c>
      <c r="C66" s="4" t="s">
        <v>85</v>
      </c>
      <c r="D66" s="70" t="s">
        <v>5</v>
      </c>
      <c r="E66" s="96">
        <v>78</v>
      </c>
      <c r="F66" s="96">
        <v>78</v>
      </c>
      <c r="G66" s="87">
        <v>0</v>
      </c>
      <c r="H66" s="183">
        <v>3000</v>
      </c>
      <c r="I66" s="177">
        <v>3000</v>
      </c>
      <c r="J66" s="178">
        <v>6000</v>
      </c>
      <c r="K66" s="165"/>
      <c r="L66" s="1"/>
      <c r="M66" s="183">
        <v>6000</v>
      </c>
    </row>
    <row r="67" spans="1:13" x14ac:dyDescent="0.25">
      <c r="A67" s="85">
        <f t="shared" si="1"/>
        <v>65</v>
      </c>
      <c r="B67" s="1" t="s">
        <v>75</v>
      </c>
      <c r="C67" s="4" t="s">
        <v>83</v>
      </c>
      <c r="D67" s="70" t="s">
        <v>5</v>
      </c>
      <c r="E67" s="96">
        <v>2858</v>
      </c>
      <c r="F67" s="96">
        <v>2888</v>
      </c>
      <c r="G67" s="87">
        <v>30</v>
      </c>
      <c r="H67" s="183">
        <v>0</v>
      </c>
      <c r="I67" s="177">
        <v>29250</v>
      </c>
      <c r="J67" s="178">
        <v>29250</v>
      </c>
      <c r="K67" s="177">
        <v>29250</v>
      </c>
      <c r="L67" s="1" t="s">
        <v>434</v>
      </c>
      <c r="M67" s="183">
        <v>0</v>
      </c>
    </row>
    <row r="68" spans="1:13" x14ac:dyDescent="0.25">
      <c r="A68" s="85">
        <f t="shared" si="1"/>
        <v>66</v>
      </c>
      <c r="B68" s="1" t="s">
        <v>76</v>
      </c>
      <c r="C68" s="4" t="s">
        <v>82</v>
      </c>
      <c r="D68" s="70" t="s">
        <v>5</v>
      </c>
      <c r="E68" s="96">
        <v>1247</v>
      </c>
      <c r="F68" s="96">
        <v>1260</v>
      </c>
      <c r="G68" s="87">
        <v>13</v>
      </c>
      <c r="H68" s="183">
        <v>0</v>
      </c>
      <c r="I68" s="177">
        <v>12100</v>
      </c>
      <c r="J68" s="178">
        <v>12100</v>
      </c>
      <c r="K68" s="177">
        <v>12100</v>
      </c>
      <c r="L68" s="1" t="s">
        <v>434</v>
      </c>
      <c r="M68" s="183">
        <v>0</v>
      </c>
    </row>
    <row r="69" spans="1:13" x14ac:dyDescent="0.25">
      <c r="A69" s="85">
        <f t="shared" si="1"/>
        <v>67</v>
      </c>
      <c r="B69" s="179" t="s">
        <v>77</v>
      </c>
      <c r="C69" s="210" t="s">
        <v>6</v>
      </c>
      <c r="D69" s="181" t="s">
        <v>5</v>
      </c>
      <c r="E69" s="182">
        <v>1740</v>
      </c>
      <c r="F69" s="182">
        <v>1739</v>
      </c>
      <c r="G69" s="87">
        <v>0</v>
      </c>
      <c r="H69" s="183">
        <v>3000</v>
      </c>
      <c r="I69" s="177">
        <v>3000</v>
      </c>
      <c r="J69" s="178">
        <v>6000</v>
      </c>
      <c r="K69" s="165"/>
      <c r="L69" s="1"/>
      <c r="M69" s="183">
        <v>6000</v>
      </c>
    </row>
    <row r="70" spans="1:13" x14ac:dyDescent="0.25">
      <c r="A70" s="85">
        <f t="shared" si="1"/>
        <v>68</v>
      </c>
      <c r="B70" s="1" t="s">
        <v>78</v>
      </c>
      <c r="C70" s="4" t="s">
        <v>79</v>
      </c>
      <c r="D70" s="70" t="s">
        <v>5</v>
      </c>
      <c r="E70" s="96">
        <v>1337</v>
      </c>
      <c r="F70" s="96">
        <v>1387</v>
      </c>
      <c r="G70" s="87">
        <v>50</v>
      </c>
      <c r="H70" s="183">
        <v>0</v>
      </c>
      <c r="I70" s="177">
        <v>57250</v>
      </c>
      <c r="J70" s="178">
        <v>57250</v>
      </c>
      <c r="K70" s="177">
        <v>57250</v>
      </c>
      <c r="L70" s="1" t="s">
        <v>434</v>
      </c>
      <c r="M70" s="183">
        <v>0</v>
      </c>
    </row>
    <row r="71" spans="1:13" x14ac:dyDescent="0.25">
      <c r="A71" s="85">
        <v>69</v>
      </c>
      <c r="B71" s="1" t="s">
        <v>80</v>
      </c>
      <c r="C71" s="4" t="s">
        <v>81</v>
      </c>
      <c r="D71" s="70" t="s">
        <v>5</v>
      </c>
      <c r="E71" s="96">
        <v>62</v>
      </c>
      <c r="F71" s="96">
        <v>62</v>
      </c>
      <c r="G71" s="295">
        <v>0</v>
      </c>
      <c r="H71" s="183">
        <v>0</v>
      </c>
      <c r="I71" s="177">
        <v>3000</v>
      </c>
      <c r="J71" s="177">
        <v>3000</v>
      </c>
      <c r="K71" s="177">
        <v>3000</v>
      </c>
      <c r="L71" s="1" t="s">
        <v>434</v>
      </c>
      <c r="M71" s="166">
        <v>0</v>
      </c>
    </row>
    <row r="72" spans="1:13" x14ac:dyDescent="0.25">
      <c r="A72" s="85">
        <v>70</v>
      </c>
      <c r="B72" s="9" t="s">
        <v>445</v>
      </c>
      <c r="C72" s="230" t="s">
        <v>447</v>
      </c>
      <c r="D72" s="70" t="s">
        <v>5</v>
      </c>
      <c r="E72" s="96">
        <v>0</v>
      </c>
      <c r="F72" s="96">
        <v>0</v>
      </c>
      <c r="G72" s="295">
        <v>0</v>
      </c>
      <c r="H72" s="183">
        <v>0</v>
      </c>
      <c r="I72" s="177">
        <v>3000</v>
      </c>
      <c r="J72" s="177">
        <v>3000</v>
      </c>
      <c r="K72" s="165"/>
      <c r="L72" s="1"/>
      <c r="M72" s="183">
        <v>3000</v>
      </c>
    </row>
    <row r="73" spans="1:13" x14ac:dyDescent="0.25">
      <c r="A73" s="85">
        <v>71</v>
      </c>
      <c r="B73" s="9" t="s">
        <v>446</v>
      </c>
      <c r="C73" s="4" t="s">
        <v>448</v>
      </c>
      <c r="D73" s="70" t="s">
        <v>5</v>
      </c>
      <c r="E73" s="96"/>
      <c r="F73" s="96"/>
      <c r="G73" s="295"/>
      <c r="H73" s="166"/>
      <c r="I73" s="165"/>
      <c r="J73" s="165"/>
      <c r="K73" s="165"/>
      <c r="L73" s="1"/>
      <c r="M73" s="166"/>
    </row>
    <row r="74" spans="1:13" x14ac:dyDescent="0.25">
      <c r="A74" s="118">
        <v>72</v>
      </c>
      <c r="B74" s="9" t="s">
        <v>453</v>
      </c>
      <c r="C74" s="186" t="s">
        <v>452</v>
      </c>
      <c r="D74" s="70" t="s">
        <v>5</v>
      </c>
      <c r="E74" s="257"/>
      <c r="F74" s="258"/>
      <c r="G74" s="258"/>
      <c r="H74" s="166"/>
      <c r="I74" s="259">
        <v>13335</v>
      </c>
      <c r="J74" s="177">
        <v>13335</v>
      </c>
      <c r="K74" s="177">
        <v>13335</v>
      </c>
      <c r="L74" s="1" t="s">
        <v>435</v>
      </c>
      <c r="M74" s="183">
        <v>13335</v>
      </c>
    </row>
    <row r="75" spans="1:13" x14ac:dyDescent="0.25">
      <c r="A75" s="150"/>
      <c r="B75" s="143"/>
      <c r="C75" s="260"/>
      <c r="D75" s="260"/>
      <c r="E75" s="261"/>
      <c r="F75" s="262"/>
      <c r="G75" s="262"/>
      <c r="H75" s="261"/>
      <c r="I75" s="263"/>
    </row>
    <row r="76" spans="1:13" x14ac:dyDescent="0.25">
      <c r="A76" s="91" t="s">
        <v>3</v>
      </c>
      <c r="B76" s="128"/>
      <c r="C76" s="128" t="s">
        <v>1</v>
      </c>
      <c r="D76" s="129" t="s">
        <v>2</v>
      </c>
      <c r="E76" s="129" t="s">
        <v>439</v>
      </c>
      <c r="F76" s="129" t="s">
        <v>337</v>
      </c>
      <c r="G76" s="128" t="s">
        <v>10</v>
      </c>
      <c r="H76" s="129" t="s">
        <v>356</v>
      </c>
      <c r="I76" s="129" t="s">
        <v>357</v>
      </c>
      <c r="J76" s="128" t="s">
        <v>11</v>
      </c>
      <c r="K76" s="129" t="s">
        <v>12</v>
      </c>
      <c r="L76" s="129" t="s">
        <v>355</v>
      </c>
      <c r="M76" s="130" t="s">
        <v>13</v>
      </c>
    </row>
    <row r="77" spans="1:13" x14ac:dyDescent="0.25">
      <c r="A77" s="219">
        <v>1</v>
      </c>
      <c r="B77" s="206" t="s">
        <v>102</v>
      </c>
      <c r="C77" s="220" t="s">
        <v>103</v>
      </c>
      <c r="D77" s="208" t="s">
        <v>334</v>
      </c>
      <c r="E77" s="209">
        <v>8</v>
      </c>
      <c r="F77" s="209">
        <v>43</v>
      </c>
      <c r="G77" s="221">
        <v>35</v>
      </c>
      <c r="H77" s="222">
        <v>4300</v>
      </c>
      <c r="I77" s="222">
        <v>29500</v>
      </c>
      <c r="J77" s="223">
        <v>56550</v>
      </c>
      <c r="K77" s="222">
        <v>56550</v>
      </c>
      <c r="L77" s="206" t="s">
        <v>424</v>
      </c>
      <c r="M77" s="222">
        <v>22750</v>
      </c>
    </row>
    <row r="78" spans="1:13" x14ac:dyDescent="0.25">
      <c r="A78" s="85">
        <f t="shared" ref="A78:A87" si="2">A77+1</f>
        <v>2</v>
      </c>
      <c r="B78" s="185" t="s">
        <v>370</v>
      </c>
      <c r="C78" s="58"/>
      <c r="D78" s="70" t="s">
        <v>334</v>
      </c>
      <c r="E78" s="96">
        <v>2747</v>
      </c>
      <c r="F78" s="96">
        <v>2748</v>
      </c>
      <c r="G78" s="87">
        <v>1</v>
      </c>
      <c r="H78" s="183">
        <v>0</v>
      </c>
      <c r="I78" s="177">
        <v>3700</v>
      </c>
      <c r="J78" s="178">
        <v>3700</v>
      </c>
      <c r="K78" s="177">
        <v>3700</v>
      </c>
      <c r="L78" s="1" t="s">
        <v>424</v>
      </c>
      <c r="M78" s="183">
        <v>0</v>
      </c>
    </row>
    <row r="79" spans="1:13" x14ac:dyDescent="0.25">
      <c r="A79" s="85">
        <f t="shared" si="2"/>
        <v>3</v>
      </c>
      <c r="B79" s="185" t="s">
        <v>105</v>
      </c>
      <c r="C79" s="58" t="s">
        <v>106</v>
      </c>
      <c r="D79" s="70" t="s">
        <v>335</v>
      </c>
      <c r="E79" s="96">
        <v>508</v>
      </c>
      <c r="F79" s="96">
        <v>527</v>
      </c>
      <c r="G79" s="87">
        <v>19</v>
      </c>
      <c r="H79" s="183">
        <v>0</v>
      </c>
      <c r="I79" s="177">
        <v>17700</v>
      </c>
      <c r="J79" s="178">
        <v>17700</v>
      </c>
      <c r="K79" s="177">
        <v>17700</v>
      </c>
      <c r="L79" s="1" t="s">
        <v>434</v>
      </c>
      <c r="M79" s="183">
        <v>0</v>
      </c>
    </row>
    <row r="80" spans="1:13" x14ac:dyDescent="0.25">
      <c r="A80" s="85">
        <f t="shared" si="2"/>
        <v>4</v>
      </c>
      <c r="B80" s="185" t="s">
        <v>107</v>
      </c>
      <c r="C80" s="58"/>
      <c r="D80" s="70" t="s">
        <v>335</v>
      </c>
      <c r="E80" s="96">
        <v>2458</v>
      </c>
      <c r="F80" s="96">
        <v>2662</v>
      </c>
      <c r="G80" s="87">
        <v>4</v>
      </c>
      <c r="H80" s="183">
        <v>109400</v>
      </c>
      <c r="I80" s="177">
        <v>5800</v>
      </c>
      <c r="J80" s="178">
        <v>115200</v>
      </c>
      <c r="K80" s="165"/>
      <c r="L80" s="1"/>
      <c r="M80" s="183">
        <v>115200</v>
      </c>
    </row>
    <row r="81" spans="1:13" x14ac:dyDescent="0.25">
      <c r="A81" s="85">
        <f t="shared" si="2"/>
        <v>5</v>
      </c>
      <c r="B81" s="185" t="s">
        <v>108</v>
      </c>
      <c r="C81" s="58" t="s">
        <v>111</v>
      </c>
      <c r="D81" s="70" t="s">
        <v>334</v>
      </c>
      <c r="E81" s="96">
        <v>2409</v>
      </c>
      <c r="F81" s="96">
        <v>22</v>
      </c>
      <c r="G81" s="87">
        <v>22</v>
      </c>
      <c r="H81" s="189">
        <v>890</v>
      </c>
      <c r="I81" s="177">
        <v>20850</v>
      </c>
      <c r="J81" s="178">
        <v>49070</v>
      </c>
      <c r="K81" s="177">
        <v>48180</v>
      </c>
      <c r="L81" s="1" t="s">
        <v>434</v>
      </c>
      <c r="M81" s="183">
        <v>29110</v>
      </c>
    </row>
    <row r="82" spans="1:13" x14ac:dyDescent="0.25">
      <c r="A82" s="85">
        <f t="shared" si="2"/>
        <v>6</v>
      </c>
      <c r="B82" s="185" t="s">
        <v>109</v>
      </c>
      <c r="C82" s="58" t="s">
        <v>110</v>
      </c>
      <c r="D82" s="70" t="s">
        <v>334</v>
      </c>
      <c r="E82" s="96">
        <v>670</v>
      </c>
      <c r="F82" s="96">
        <v>690</v>
      </c>
      <c r="G82" s="87">
        <v>20</v>
      </c>
      <c r="H82" s="183">
        <v>0</v>
      </c>
      <c r="I82" s="177">
        <v>18750</v>
      </c>
      <c r="J82" s="178">
        <v>18750</v>
      </c>
      <c r="K82" s="177"/>
      <c r="L82" s="1"/>
      <c r="M82" s="183">
        <v>23750</v>
      </c>
    </row>
    <row r="83" spans="1:13" x14ac:dyDescent="0.25">
      <c r="A83" s="85">
        <f t="shared" si="2"/>
        <v>7</v>
      </c>
      <c r="B83" s="185" t="s">
        <v>112</v>
      </c>
      <c r="C83" s="58" t="s">
        <v>113</v>
      </c>
      <c r="D83" s="70" t="s">
        <v>335</v>
      </c>
      <c r="E83" s="96">
        <v>11</v>
      </c>
      <c r="F83" s="96">
        <v>12</v>
      </c>
      <c r="G83" s="87">
        <v>1</v>
      </c>
      <c r="H83" s="166">
        <v>13700</v>
      </c>
      <c r="I83" s="177">
        <v>3700</v>
      </c>
      <c r="J83" s="178">
        <v>17400</v>
      </c>
      <c r="K83" s="165"/>
      <c r="L83" s="1"/>
      <c r="M83" s="183">
        <v>17400</v>
      </c>
    </row>
    <row r="84" spans="1:13" x14ac:dyDescent="0.25">
      <c r="A84" s="85">
        <f t="shared" si="2"/>
        <v>8</v>
      </c>
      <c r="B84" s="185" t="s">
        <v>114</v>
      </c>
      <c r="C84" s="58" t="s">
        <v>115</v>
      </c>
      <c r="D84" s="70" t="s">
        <v>335</v>
      </c>
      <c r="E84" s="96">
        <v>392</v>
      </c>
      <c r="F84" s="96">
        <v>411</v>
      </c>
      <c r="G84" s="87">
        <v>19</v>
      </c>
      <c r="H84" s="166">
        <v>0</v>
      </c>
      <c r="I84" s="177">
        <v>17700</v>
      </c>
      <c r="J84" s="178">
        <v>17700</v>
      </c>
      <c r="K84" s="177"/>
      <c r="L84" s="1"/>
      <c r="M84" s="183">
        <v>17700</v>
      </c>
    </row>
    <row r="85" spans="1:13" x14ac:dyDescent="0.25">
      <c r="A85" s="213">
        <f t="shared" si="2"/>
        <v>9</v>
      </c>
      <c r="B85" s="179" t="s">
        <v>116</v>
      </c>
      <c r="C85" s="180"/>
      <c r="D85" s="181" t="s">
        <v>334</v>
      </c>
      <c r="E85" s="182">
        <v>156</v>
      </c>
      <c r="F85" s="182"/>
      <c r="G85" s="87"/>
      <c r="H85" s="166"/>
      <c r="I85" s="165"/>
      <c r="J85" s="167"/>
      <c r="K85" s="165"/>
      <c r="L85" s="1"/>
      <c r="M85" s="166"/>
    </row>
    <row r="86" spans="1:13" x14ac:dyDescent="0.25">
      <c r="A86" s="85">
        <f t="shared" si="2"/>
        <v>10</v>
      </c>
      <c r="B86" s="185" t="s">
        <v>117</v>
      </c>
      <c r="C86" s="58" t="s">
        <v>118</v>
      </c>
      <c r="D86" s="70" t="s">
        <v>335</v>
      </c>
      <c r="E86" s="96">
        <v>1367</v>
      </c>
      <c r="F86" s="96">
        <v>1379</v>
      </c>
      <c r="G86" s="87">
        <v>12</v>
      </c>
      <c r="H86" s="183">
        <v>25870</v>
      </c>
      <c r="I86" s="177">
        <v>11400</v>
      </c>
      <c r="J86" s="178">
        <v>37270</v>
      </c>
      <c r="K86" s="177">
        <v>25870</v>
      </c>
      <c r="L86" s="1" t="s">
        <v>434</v>
      </c>
      <c r="M86" s="183">
        <v>11400</v>
      </c>
    </row>
    <row r="87" spans="1:13" x14ac:dyDescent="0.25">
      <c r="A87" s="85">
        <f t="shared" si="2"/>
        <v>11</v>
      </c>
      <c r="B87" s="185" t="s">
        <v>119</v>
      </c>
      <c r="C87" s="58" t="s">
        <v>120</v>
      </c>
      <c r="D87" s="70" t="s">
        <v>335</v>
      </c>
      <c r="E87" s="96">
        <v>2911</v>
      </c>
      <c r="F87" s="96">
        <v>2938</v>
      </c>
      <c r="G87" s="87">
        <v>27</v>
      </c>
      <c r="H87" s="183">
        <v>18200</v>
      </c>
      <c r="I87" s="177">
        <v>26100</v>
      </c>
      <c r="J87" s="178">
        <v>44300</v>
      </c>
      <c r="K87" s="177">
        <v>44300</v>
      </c>
      <c r="L87" s="1" t="s">
        <v>424</v>
      </c>
      <c r="M87" s="183">
        <v>0</v>
      </c>
    </row>
    <row r="88" spans="1:13" x14ac:dyDescent="0.25">
      <c r="A88" s="85">
        <v>12</v>
      </c>
      <c r="B88" s="185" t="s">
        <v>428</v>
      </c>
      <c r="C88" s="58"/>
      <c r="D88" s="70"/>
      <c r="E88" s="96">
        <v>0</v>
      </c>
      <c r="F88" s="96">
        <v>0</v>
      </c>
      <c r="G88" s="87">
        <v>0</v>
      </c>
      <c r="H88" s="183">
        <v>3000</v>
      </c>
      <c r="I88" s="177">
        <v>3000</v>
      </c>
      <c r="J88" s="178">
        <v>6000</v>
      </c>
      <c r="K88" s="165"/>
      <c r="L88" s="1"/>
      <c r="M88" s="183">
        <v>6000</v>
      </c>
    </row>
    <row r="89" spans="1:13" x14ac:dyDescent="0.25">
      <c r="A89" s="85">
        <v>13</v>
      </c>
      <c r="B89" s="185" t="s">
        <v>121</v>
      </c>
      <c r="C89" s="58" t="s">
        <v>122</v>
      </c>
      <c r="D89" s="70" t="s">
        <v>335</v>
      </c>
      <c r="E89" s="96">
        <v>1935</v>
      </c>
      <c r="F89" s="96">
        <v>1975</v>
      </c>
      <c r="G89" s="87">
        <v>40</v>
      </c>
      <c r="H89" s="183">
        <v>3000</v>
      </c>
      <c r="I89" s="177">
        <v>43250</v>
      </c>
      <c r="J89" s="178">
        <v>46250</v>
      </c>
      <c r="K89" s="165"/>
      <c r="L89" s="1"/>
      <c r="M89" s="183">
        <v>46250</v>
      </c>
    </row>
    <row r="90" spans="1:13" x14ac:dyDescent="0.25">
      <c r="A90" s="85">
        <v>14</v>
      </c>
      <c r="B90" s="185" t="s">
        <v>123</v>
      </c>
      <c r="C90" s="58" t="s">
        <v>124</v>
      </c>
      <c r="D90" s="70" t="s">
        <v>335</v>
      </c>
      <c r="E90" s="96"/>
      <c r="F90" s="96"/>
      <c r="G90" s="87"/>
      <c r="H90" s="166"/>
      <c r="I90" s="177"/>
      <c r="J90" s="178">
        <v>22750</v>
      </c>
      <c r="K90" s="165"/>
      <c r="L90" s="1"/>
      <c r="M90" s="166"/>
    </row>
    <row r="91" spans="1:13" x14ac:dyDescent="0.25">
      <c r="A91" s="85">
        <v>15</v>
      </c>
      <c r="B91" s="185" t="s">
        <v>429</v>
      </c>
      <c r="C91" s="58"/>
      <c r="D91" s="70" t="s">
        <v>335</v>
      </c>
      <c r="E91" s="96">
        <v>15</v>
      </c>
      <c r="F91" s="96">
        <v>21</v>
      </c>
      <c r="G91" s="87">
        <v>6</v>
      </c>
      <c r="H91" s="183">
        <v>840</v>
      </c>
      <c r="I91" s="177">
        <v>7200</v>
      </c>
      <c r="J91" s="178">
        <v>121380</v>
      </c>
      <c r="K91" s="177">
        <v>112500</v>
      </c>
      <c r="L91" s="1" t="s">
        <v>424</v>
      </c>
      <c r="M91" s="183">
        <v>72220</v>
      </c>
    </row>
    <row r="92" spans="1:13" x14ac:dyDescent="0.25">
      <c r="A92" s="85">
        <v>16</v>
      </c>
      <c r="B92" s="185" t="s">
        <v>125</v>
      </c>
      <c r="C92" s="58" t="s">
        <v>126</v>
      </c>
      <c r="D92" s="70" t="s">
        <v>335</v>
      </c>
      <c r="E92" s="96">
        <v>3116</v>
      </c>
      <c r="F92" s="96">
        <v>3125</v>
      </c>
      <c r="G92" s="87">
        <v>9</v>
      </c>
      <c r="H92" s="183">
        <v>15900</v>
      </c>
      <c r="I92" s="177">
        <v>9300</v>
      </c>
      <c r="J92" s="178">
        <v>25200</v>
      </c>
      <c r="K92" s="177"/>
      <c r="L92" s="1"/>
      <c r="M92" s="183">
        <v>25200</v>
      </c>
    </row>
    <row r="93" spans="1:13" x14ac:dyDescent="0.25">
      <c r="A93" s="85">
        <v>17</v>
      </c>
      <c r="B93" s="185" t="s">
        <v>127</v>
      </c>
      <c r="C93" s="58" t="s">
        <v>128</v>
      </c>
      <c r="D93" s="70" t="s">
        <v>335</v>
      </c>
      <c r="E93" s="96">
        <v>1768</v>
      </c>
      <c r="F93" s="96">
        <v>1768</v>
      </c>
      <c r="G93" s="87">
        <v>0</v>
      </c>
      <c r="H93" s="183">
        <v>0</v>
      </c>
      <c r="I93" s="177">
        <v>3000</v>
      </c>
      <c r="J93" s="178">
        <v>3000</v>
      </c>
      <c r="K93" s="165">
        <v>3000</v>
      </c>
      <c r="L93" s="1" t="s">
        <v>434</v>
      </c>
      <c r="M93" s="183">
        <v>0</v>
      </c>
    </row>
    <row r="94" spans="1:13" x14ac:dyDescent="0.25">
      <c r="A94" s="85">
        <v>18</v>
      </c>
      <c r="B94" s="185" t="s">
        <v>129</v>
      </c>
      <c r="C94" s="58" t="s">
        <v>130</v>
      </c>
      <c r="D94" s="70" t="s">
        <v>335</v>
      </c>
      <c r="E94" s="96">
        <v>2400</v>
      </c>
      <c r="F94" s="96">
        <v>2416</v>
      </c>
      <c r="G94" s="87">
        <v>16</v>
      </c>
      <c r="H94" s="183">
        <v>0</v>
      </c>
      <c r="I94" s="177">
        <v>14550</v>
      </c>
      <c r="J94" s="178">
        <v>14550</v>
      </c>
      <c r="K94" s="177">
        <v>14550</v>
      </c>
      <c r="L94" s="1" t="s">
        <v>434</v>
      </c>
      <c r="M94" s="183">
        <v>0</v>
      </c>
    </row>
    <row r="95" spans="1:13" x14ac:dyDescent="0.25">
      <c r="A95" s="85">
        <v>19</v>
      </c>
      <c r="B95" s="185" t="s">
        <v>131</v>
      </c>
      <c r="C95" s="58" t="s">
        <v>132</v>
      </c>
      <c r="D95" s="70" t="s">
        <v>335</v>
      </c>
      <c r="E95" s="96">
        <v>176</v>
      </c>
      <c r="F95" s="96">
        <v>185</v>
      </c>
      <c r="G95" s="87">
        <v>9</v>
      </c>
      <c r="H95" s="183">
        <v>28000</v>
      </c>
      <c r="I95" s="177">
        <v>9300</v>
      </c>
      <c r="J95" s="178">
        <v>37300</v>
      </c>
      <c r="K95" s="177">
        <v>37300</v>
      </c>
      <c r="L95" s="1" t="s">
        <v>434</v>
      </c>
      <c r="M95" s="183">
        <v>28000</v>
      </c>
    </row>
    <row r="96" spans="1:13" x14ac:dyDescent="0.25">
      <c r="A96" s="213">
        <v>20</v>
      </c>
      <c r="B96" s="179" t="s">
        <v>133</v>
      </c>
      <c r="C96" s="180" t="s">
        <v>134</v>
      </c>
      <c r="D96" s="181" t="s">
        <v>335</v>
      </c>
      <c r="E96" s="182">
        <v>1540</v>
      </c>
      <c r="F96" s="182">
        <v>1540</v>
      </c>
      <c r="G96" s="216">
        <v>0</v>
      </c>
      <c r="H96" s="193">
        <v>0</v>
      </c>
      <c r="I96" s="217">
        <v>3000</v>
      </c>
      <c r="J96" s="218">
        <v>3000</v>
      </c>
      <c r="K96" s="217">
        <v>13500</v>
      </c>
      <c r="L96" s="179" t="s">
        <v>424</v>
      </c>
      <c r="M96" s="193">
        <v>0</v>
      </c>
    </row>
    <row r="97" spans="1:13" x14ac:dyDescent="0.25">
      <c r="A97" s="85">
        <v>21</v>
      </c>
      <c r="B97" s="185" t="s">
        <v>135</v>
      </c>
      <c r="C97" s="58" t="s">
        <v>136</v>
      </c>
      <c r="D97" s="70" t="s">
        <v>335</v>
      </c>
      <c r="E97" s="96">
        <v>343</v>
      </c>
      <c r="F97" s="96">
        <v>418</v>
      </c>
      <c r="G97" s="87">
        <v>75</v>
      </c>
      <c r="H97" s="166">
        <v>0</v>
      </c>
      <c r="I97" s="177">
        <v>92250</v>
      </c>
      <c r="J97" s="178">
        <v>92250</v>
      </c>
      <c r="K97" s="165"/>
      <c r="L97" s="1"/>
      <c r="M97" s="183">
        <v>92250</v>
      </c>
    </row>
    <row r="98" spans="1:13" x14ac:dyDescent="0.25">
      <c r="A98" s="213">
        <v>22</v>
      </c>
      <c r="B98" s="179" t="s">
        <v>137</v>
      </c>
      <c r="C98" s="180" t="s">
        <v>138</v>
      </c>
      <c r="D98" s="181" t="s">
        <v>335</v>
      </c>
      <c r="E98" s="182">
        <v>2320</v>
      </c>
      <c r="F98" s="182">
        <v>2355</v>
      </c>
      <c r="G98" s="216">
        <v>35</v>
      </c>
      <c r="H98" s="193">
        <v>43880</v>
      </c>
      <c r="I98" s="217">
        <v>36250</v>
      </c>
      <c r="J98" s="218">
        <v>80130</v>
      </c>
      <c r="K98" s="217">
        <v>80130</v>
      </c>
      <c r="L98" s="179" t="s">
        <v>424</v>
      </c>
      <c r="M98" s="193">
        <v>13340</v>
      </c>
    </row>
    <row r="99" spans="1:13" x14ac:dyDescent="0.25">
      <c r="A99" s="85">
        <v>23</v>
      </c>
      <c r="B99" s="185" t="s">
        <v>139</v>
      </c>
      <c r="C99" s="58" t="s">
        <v>140</v>
      </c>
      <c r="D99" s="70" t="s">
        <v>335</v>
      </c>
      <c r="E99" s="96">
        <v>1</v>
      </c>
      <c r="F99" s="96">
        <v>7</v>
      </c>
      <c r="G99" s="87">
        <v>6</v>
      </c>
      <c r="H99" s="183">
        <v>17200</v>
      </c>
      <c r="I99" s="177">
        <v>7200</v>
      </c>
      <c r="J99" s="178">
        <v>24400</v>
      </c>
      <c r="K99" s="177">
        <v>24400</v>
      </c>
      <c r="L99" s="1" t="s">
        <v>435</v>
      </c>
      <c r="M99" s="183">
        <v>11200</v>
      </c>
    </row>
    <row r="100" spans="1:13" x14ac:dyDescent="0.25">
      <c r="A100" s="85">
        <v>24</v>
      </c>
      <c r="B100" s="185" t="s">
        <v>141</v>
      </c>
      <c r="C100" s="58" t="s">
        <v>142</v>
      </c>
      <c r="D100" s="70" t="s">
        <v>335</v>
      </c>
      <c r="E100" s="96">
        <v>148</v>
      </c>
      <c r="F100" s="96">
        <v>2</v>
      </c>
      <c r="G100" s="87">
        <v>2</v>
      </c>
      <c r="H100" s="183">
        <v>17200</v>
      </c>
      <c r="I100" s="177">
        <v>4400</v>
      </c>
      <c r="J100" s="178">
        <v>21600</v>
      </c>
      <c r="K100" s="177">
        <v>17800</v>
      </c>
      <c r="L100" s="1" t="s">
        <v>434</v>
      </c>
      <c r="M100" s="183">
        <v>0</v>
      </c>
    </row>
    <row r="101" spans="1:13" x14ac:dyDescent="0.25">
      <c r="A101" s="85">
        <v>25</v>
      </c>
      <c r="B101" s="185" t="s">
        <v>143</v>
      </c>
      <c r="C101" s="58" t="s">
        <v>144</v>
      </c>
      <c r="D101" s="70" t="s">
        <v>335</v>
      </c>
      <c r="E101" s="96">
        <v>0</v>
      </c>
      <c r="F101" s="96">
        <v>0</v>
      </c>
      <c r="G101" s="87">
        <v>0</v>
      </c>
      <c r="H101" s="183">
        <v>0</v>
      </c>
      <c r="I101" s="177">
        <v>3000</v>
      </c>
      <c r="J101" s="178">
        <v>3000</v>
      </c>
      <c r="K101" s="177">
        <v>3000</v>
      </c>
      <c r="L101" s="1" t="s">
        <v>434</v>
      </c>
      <c r="M101" s="183">
        <v>0</v>
      </c>
    </row>
    <row r="102" spans="1:13" x14ac:dyDescent="0.25">
      <c r="A102" s="159">
        <v>26</v>
      </c>
      <c r="B102" s="184" t="s">
        <v>145</v>
      </c>
      <c r="C102" s="153" t="s">
        <v>146</v>
      </c>
      <c r="D102" s="154" t="s">
        <v>335</v>
      </c>
      <c r="E102" s="155">
        <v>2339</v>
      </c>
      <c r="F102" s="155">
        <v>2368</v>
      </c>
      <c r="G102" s="156">
        <v>29</v>
      </c>
      <c r="H102" s="164">
        <v>0</v>
      </c>
      <c r="I102" s="164">
        <v>21450</v>
      </c>
      <c r="J102" s="176">
        <v>21450</v>
      </c>
      <c r="K102" s="160">
        <v>21450</v>
      </c>
      <c r="L102" s="160" t="s">
        <v>435</v>
      </c>
      <c r="M102" s="164">
        <v>0</v>
      </c>
    </row>
    <row r="103" spans="1:13" x14ac:dyDescent="0.25">
      <c r="A103" s="159">
        <v>27</v>
      </c>
      <c r="B103" s="184" t="s">
        <v>147</v>
      </c>
      <c r="C103" s="153" t="s">
        <v>148</v>
      </c>
      <c r="D103" s="154" t="s">
        <v>335</v>
      </c>
      <c r="E103" s="155">
        <v>2184</v>
      </c>
      <c r="F103" s="155">
        <v>2199</v>
      </c>
      <c r="G103" s="156">
        <v>15</v>
      </c>
      <c r="H103" s="164">
        <v>0</v>
      </c>
      <c r="I103" s="164">
        <v>6750</v>
      </c>
      <c r="J103" s="176">
        <v>6750</v>
      </c>
      <c r="K103" s="164">
        <v>6750</v>
      </c>
      <c r="L103" s="160" t="s">
        <v>435</v>
      </c>
      <c r="M103" s="164">
        <v>0</v>
      </c>
    </row>
    <row r="104" spans="1:13" x14ac:dyDescent="0.25">
      <c r="A104" s="85">
        <v>28</v>
      </c>
      <c r="B104" s="185" t="s">
        <v>149</v>
      </c>
      <c r="C104" s="58" t="s">
        <v>150</v>
      </c>
      <c r="D104" s="70" t="s">
        <v>335</v>
      </c>
      <c r="E104" s="96">
        <v>92</v>
      </c>
      <c r="F104" s="96">
        <v>101</v>
      </c>
      <c r="G104" s="87">
        <v>9</v>
      </c>
      <c r="H104" s="183">
        <v>3700</v>
      </c>
      <c r="I104" s="177">
        <v>9300</v>
      </c>
      <c r="J104" s="178">
        <v>13000</v>
      </c>
      <c r="K104" s="177">
        <v>13000</v>
      </c>
      <c r="L104" s="1" t="s">
        <v>435</v>
      </c>
      <c r="M104" s="183">
        <v>0</v>
      </c>
    </row>
    <row r="105" spans="1:13" x14ac:dyDescent="0.25">
      <c r="A105" s="85">
        <v>29</v>
      </c>
      <c r="B105" s="185" t="s">
        <v>151</v>
      </c>
      <c r="C105" s="58" t="s">
        <v>152</v>
      </c>
      <c r="D105" s="70" t="s">
        <v>335</v>
      </c>
      <c r="E105" s="96">
        <v>866</v>
      </c>
      <c r="F105" s="96">
        <v>868</v>
      </c>
      <c r="G105" s="87">
        <v>2</v>
      </c>
      <c r="H105" s="183">
        <v>5100</v>
      </c>
      <c r="I105" s="177">
        <v>4400</v>
      </c>
      <c r="J105" s="178">
        <v>9500</v>
      </c>
      <c r="K105" s="177"/>
      <c r="L105" s="1"/>
      <c r="M105" s="183">
        <v>9500</v>
      </c>
    </row>
    <row r="106" spans="1:13" x14ac:dyDescent="0.25">
      <c r="A106" s="85">
        <v>30</v>
      </c>
      <c r="B106" s="185" t="s">
        <v>153</v>
      </c>
      <c r="C106" s="58" t="s">
        <v>154</v>
      </c>
      <c r="D106" s="70" t="s">
        <v>335</v>
      </c>
      <c r="E106" s="96">
        <v>227</v>
      </c>
      <c r="F106" s="96">
        <v>227</v>
      </c>
      <c r="G106" s="87">
        <v>0</v>
      </c>
      <c r="H106" s="183">
        <v>4400</v>
      </c>
      <c r="I106" s="190">
        <v>3000</v>
      </c>
      <c r="J106" s="178">
        <v>7400</v>
      </c>
      <c r="K106" s="266">
        <v>7400</v>
      </c>
      <c r="L106" s="1" t="s">
        <v>435</v>
      </c>
      <c r="M106" s="183">
        <v>0</v>
      </c>
    </row>
    <row r="107" spans="1:13" x14ac:dyDescent="0.25">
      <c r="A107" s="85">
        <v>31</v>
      </c>
      <c r="B107" s="185" t="s">
        <v>155</v>
      </c>
      <c r="C107" s="58" t="s">
        <v>156</v>
      </c>
      <c r="D107" s="70" t="s">
        <v>335</v>
      </c>
      <c r="E107" s="96">
        <v>2320</v>
      </c>
      <c r="F107" s="96">
        <v>3</v>
      </c>
      <c r="G107" s="87">
        <v>3</v>
      </c>
      <c r="H107" s="183">
        <v>4400</v>
      </c>
      <c r="I107" s="177">
        <v>5100</v>
      </c>
      <c r="J107" s="178">
        <v>9500</v>
      </c>
      <c r="K107" s="177">
        <v>9500</v>
      </c>
      <c r="L107" s="1" t="s">
        <v>424</v>
      </c>
      <c r="M107" s="183">
        <v>0</v>
      </c>
    </row>
    <row r="108" spans="1:13" x14ac:dyDescent="0.25">
      <c r="A108" s="85">
        <v>32</v>
      </c>
      <c r="B108" s="185" t="s">
        <v>157</v>
      </c>
      <c r="C108" s="58" t="s">
        <v>158</v>
      </c>
      <c r="D108" s="70" t="s">
        <v>335</v>
      </c>
      <c r="E108" s="96">
        <v>1163</v>
      </c>
      <c r="F108" s="96">
        <v>1170</v>
      </c>
      <c r="G108" s="87">
        <v>7</v>
      </c>
      <c r="H108" s="183">
        <v>0</v>
      </c>
      <c r="I108" s="177">
        <v>7900</v>
      </c>
      <c r="J108" s="178">
        <v>16500</v>
      </c>
      <c r="K108" s="165">
        <v>16500</v>
      </c>
      <c r="L108" s="1" t="s">
        <v>434</v>
      </c>
      <c r="M108" s="192">
        <v>8600</v>
      </c>
    </row>
    <row r="109" spans="1:13" x14ac:dyDescent="0.25">
      <c r="A109" s="85">
        <v>33</v>
      </c>
      <c r="B109" s="185" t="s">
        <v>159</v>
      </c>
      <c r="C109" s="58" t="s">
        <v>160</v>
      </c>
      <c r="D109" s="70" t="s">
        <v>335</v>
      </c>
      <c r="E109" s="96">
        <v>1380</v>
      </c>
      <c r="F109" s="96">
        <v>1397</v>
      </c>
      <c r="G109" s="87">
        <v>17</v>
      </c>
      <c r="H109" s="183">
        <v>10000</v>
      </c>
      <c r="I109" s="177">
        <v>15600</v>
      </c>
      <c r="J109" s="178">
        <v>25600</v>
      </c>
      <c r="K109" s="177">
        <v>25600</v>
      </c>
      <c r="L109" s="1" t="s">
        <v>424</v>
      </c>
      <c r="M109" s="183">
        <v>0</v>
      </c>
    </row>
    <row r="110" spans="1:13" x14ac:dyDescent="0.25">
      <c r="A110" s="213">
        <v>34</v>
      </c>
      <c r="B110" s="179" t="s">
        <v>161</v>
      </c>
      <c r="C110" s="180" t="s">
        <v>162</v>
      </c>
      <c r="D110" s="181" t="s">
        <v>335</v>
      </c>
      <c r="E110" s="182">
        <v>1266</v>
      </c>
      <c r="F110" s="182">
        <v>1266</v>
      </c>
      <c r="G110" s="216">
        <v>0</v>
      </c>
      <c r="H110" s="193">
        <v>5100</v>
      </c>
      <c r="I110" s="217">
        <v>3000</v>
      </c>
      <c r="J110" s="218">
        <v>8100</v>
      </c>
      <c r="K110" s="217">
        <v>10200</v>
      </c>
      <c r="L110" s="179" t="s">
        <v>424</v>
      </c>
      <c r="M110" s="193">
        <v>0</v>
      </c>
    </row>
    <row r="111" spans="1:13" x14ac:dyDescent="0.25">
      <c r="A111" s="159">
        <v>35</v>
      </c>
      <c r="B111" s="206" t="s">
        <v>163</v>
      </c>
      <c r="C111" s="220" t="s">
        <v>164</v>
      </c>
      <c r="D111" s="208" t="s">
        <v>335</v>
      </c>
      <c r="E111" s="209">
        <v>2485</v>
      </c>
      <c r="F111" s="209">
        <v>1170</v>
      </c>
      <c r="G111" s="156">
        <v>15</v>
      </c>
      <c r="H111" s="164">
        <v>19998</v>
      </c>
      <c r="I111" s="164">
        <v>26748</v>
      </c>
      <c r="J111" s="176">
        <v>26748</v>
      </c>
      <c r="K111" s="164">
        <v>26748</v>
      </c>
      <c r="L111" s="160" t="s">
        <v>434</v>
      </c>
      <c r="M111" s="164">
        <v>19998</v>
      </c>
    </row>
    <row r="112" spans="1:13" x14ac:dyDescent="0.25">
      <c r="A112" s="85">
        <v>36</v>
      </c>
      <c r="B112" s="185" t="s">
        <v>165</v>
      </c>
      <c r="C112" s="58" t="s">
        <v>166</v>
      </c>
      <c r="D112" s="70" t="s">
        <v>335</v>
      </c>
      <c r="E112" s="96">
        <v>1128</v>
      </c>
      <c r="F112" s="96">
        <v>1149</v>
      </c>
      <c r="G112" s="87">
        <v>21</v>
      </c>
      <c r="H112" s="183">
        <v>0</v>
      </c>
      <c r="I112" s="177">
        <v>19800</v>
      </c>
      <c r="J112" s="178">
        <v>19800</v>
      </c>
      <c r="K112" s="177">
        <v>15000</v>
      </c>
      <c r="L112" s="1" t="s">
        <v>424</v>
      </c>
      <c r="M112" s="183">
        <v>4800</v>
      </c>
    </row>
    <row r="113" spans="1:13" x14ac:dyDescent="0.25">
      <c r="A113" s="85">
        <v>37</v>
      </c>
      <c r="B113" s="185" t="s">
        <v>167</v>
      </c>
      <c r="C113" s="58" t="s">
        <v>168</v>
      </c>
      <c r="D113" s="70" t="s">
        <v>335</v>
      </c>
      <c r="E113" s="96">
        <v>103</v>
      </c>
      <c r="F113" s="96">
        <v>103</v>
      </c>
      <c r="G113" s="87">
        <v>0</v>
      </c>
      <c r="H113" s="183">
        <v>3000</v>
      </c>
      <c r="I113" s="177">
        <v>3000</v>
      </c>
      <c r="J113" s="178">
        <v>6000</v>
      </c>
      <c r="K113" s="177">
        <v>6000</v>
      </c>
      <c r="L113" s="1" t="s">
        <v>424</v>
      </c>
      <c r="M113" s="183">
        <v>0</v>
      </c>
    </row>
    <row r="114" spans="1:13" x14ac:dyDescent="0.25">
      <c r="A114" s="85">
        <v>38</v>
      </c>
      <c r="B114" s="185" t="s">
        <v>169</v>
      </c>
      <c r="C114" s="58" t="s">
        <v>170</v>
      </c>
      <c r="D114" s="70" t="s">
        <v>335</v>
      </c>
      <c r="E114" s="96">
        <v>2695</v>
      </c>
      <c r="F114" s="96">
        <v>2712</v>
      </c>
      <c r="G114" s="87">
        <v>17</v>
      </c>
      <c r="H114" s="183">
        <v>62390</v>
      </c>
      <c r="I114" s="177">
        <v>15600</v>
      </c>
      <c r="J114" s="178">
        <v>77990</v>
      </c>
      <c r="K114" s="165"/>
      <c r="L114" s="1"/>
      <c r="M114" s="183">
        <v>87810</v>
      </c>
    </row>
    <row r="115" spans="1:13" x14ac:dyDescent="0.25">
      <c r="A115" s="159">
        <v>39</v>
      </c>
      <c r="B115" s="184" t="s">
        <v>171</v>
      </c>
      <c r="C115" s="153" t="s">
        <v>172</v>
      </c>
      <c r="D115" s="154" t="s">
        <v>335</v>
      </c>
      <c r="E115" s="155">
        <v>4340</v>
      </c>
      <c r="F115" s="155">
        <v>4340</v>
      </c>
      <c r="G115" s="156">
        <v>0</v>
      </c>
      <c r="H115" s="164">
        <v>51900</v>
      </c>
      <c r="I115" s="164">
        <v>1500</v>
      </c>
      <c r="J115" s="176">
        <v>53400</v>
      </c>
      <c r="K115" s="160"/>
      <c r="L115" s="160"/>
      <c r="M115" s="271">
        <v>53400</v>
      </c>
    </row>
    <row r="116" spans="1:13" x14ac:dyDescent="0.25">
      <c r="A116" s="85">
        <v>40</v>
      </c>
      <c r="B116" s="179" t="s">
        <v>371</v>
      </c>
      <c r="C116" s="180" t="s">
        <v>174</v>
      </c>
      <c r="D116" s="181" t="s">
        <v>335</v>
      </c>
      <c r="E116" s="182">
        <v>4461</v>
      </c>
      <c r="F116" s="182">
        <v>4643</v>
      </c>
      <c r="G116" s="87">
        <v>40</v>
      </c>
      <c r="H116" s="183">
        <v>0</v>
      </c>
      <c r="I116" s="177">
        <v>43250</v>
      </c>
      <c r="J116" s="178">
        <v>43250</v>
      </c>
      <c r="K116" s="177">
        <v>43250</v>
      </c>
      <c r="L116" s="1" t="s">
        <v>435</v>
      </c>
      <c r="M116" s="183">
        <v>0</v>
      </c>
    </row>
    <row r="117" spans="1:13" x14ac:dyDescent="0.25">
      <c r="A117" s="85">
        <v>41</v>
      </c>
      <c r="B117" s="185" t="s">
        <v>175</v>
      </c>
      <c r="C117" s="58" t="s">
        <v>176</v>
      </c>
      <c r="D117" s="70" t="s">
        <v>335</v>
      </c>
      <c r="E117" s="96">
        <v>1115</v>
      </c>
      <c r="F117" s="96">
        <v>1128</v>
      </c>
      <c r="G117" s="87">
        <v>13</v>
      </c>
      <c r="H117" s="183">
        <v>19800</v>
      </c>
      <c r="I117" s="177">
        <v>12100</v>
      </c>
      <c r="J117" s="178">
        <v>31900</v>
      </c>
      <c r="K117" s="177">
        <v>31900</v>
      </c>
      <c r="L117" s="1" t="s">
        <v>435</v>
      </c>
      <c r="M117" s="183">
        <v>0</v>
      </c>
    </row>
    <row r="118" spans="1:13" x14ac:dyDescent="0.25">
      <c r="A118" s="85">
        <v>42</v>
      </c>
      <c r="B118" s="185" t="s">
        <v>441</v>
      </c>
      <c r="C118" s="58" t="s">
        <v>178</v>
      </c>
      <c r="D118" s="70" t="s">
        <v>335</v>
      </c>
      <c r="E118" s="96">
        <v>89</v>
      </c>
      <c r="F118" s="96">
        <v>89</v>
      </c>
      <c r="G118" s="87">
        <v>0</v>
      </c>
      <c r="H118" s="183">
        <v>0</v>
      </c>
      <c r="I118" s="177">
        <v>3000</v>
      </c>
      <c r="J118" s="178">
        <v>3000</v>
      </c>
      <c r="K118" s="266">
        <v>3000</v>
      </c>
      <c r="L118" s="1" t="s">
        <v>435</v>
      </c>
      <c r="M118" s="183">
        <v>0</v>
      </c>
    </row>
    <row r="119" spans="1:13" x14ac:dyDescent="0.25">
      <c r="A119" s="118">
        <v>43</v>
      </c>
      <c r="B119" s="186" t="s">
        <v>179</v>
      </c>
      <c r="C119" s="137" t="s">
        <v>180</v>
      </c>
      <c r="D119" s="117" t="s">
        <v>335</v>
      </c>
      <c r="E119" s="96">
        <v>1914</v>
      </c>
      <c r="F119" s="96">
        <v>1931</v>
      </c>
      <c r="G119" s="87">
        <v>17</v>
      </c>
      <c r="H119" s="183">
        <v>0</v>
      </c>
      <c r="I119" s="177">
        <v>15600</v>
      </c>
      <c r="J119" s="178">
        <v>15600</v>
      </c>
      <c r="K119" s="266">
        <v>15600</v>
      </c>
      <c r="L119" s="1" t="s">
        <v>434</v>
      </c>
      <c r="M119" s="183">
        <v>9100</v>
      </c>
    </row>
    <row r="120" spans="1:13" x14ac:dyDescent="0.25">
      <c r="A120" s="85">
        <v>44</v>
      </c>
      <c r="B120" s="185" t="s">
        <v>181</v>
      </c>
      <c r="C120" s="58" t="s">
        <v>182</v>
      </c>
      <c r="D120" s="70" t="s">
        <v>335</v>
      </c>
      <c r="E120" s="96">
        <v>1765</v>
      </c>
      <c r="F120" s="96">
        <v>121</v>
      </c>
      <c r="G120" s="87">
        <v>121</v>
      </c>
      <c r="H120" s="183">
        <v>0</v>
      </c>
      <c r="I120" s="177">
        <v>156650</v>
      </c>
      <c r="J120" s="178">
        <v>156650</v>
      </c>
      <c r="K120" s="266">
        <v>156650</v>
      </c>
      <c r="L120" s="1" t="s">
        <v>434</v>
      </c>
      <c r="M120" s="183">
        <v>0</v>
      </c>
    </row>
    <row r="121" spans="1:13" x14ac:dyDescent="0.25">
      <c r="A121" s="85">
        <v>45</v>
      </c>
      <c r="B121" s="185" t="s">
        <v>183</v>
      </c>
      <c r="C121" s="58" t="s">
        <v>184</v>
      </c>
      <c r="D121" s="70" t="s">
        <v>335</v>
      </c>
      <c r="E121" s="96">
        <v>310</v>
      </c>
      <c r="F121" s="96">
        <v>320</v>
      </c>
      <c r="G121" s="87">
        <v>10</v>
      </c>
      <c r="H121" s="183">
        <v>0</v>
      </c>
      <c r="I121" s="177">
        <v>10000</v>
      </c>
      <c r="J121" s="178">
        <v>10000</v>
      </c>
      <c r="K121" s="165"/>
      <c r="L121" s="1"/>
      <c r="M121" s="183">
        <v>10000</v>
      </c>
    </row>
    <row r="122" spans="1:13" x14ac:dyDescent="0.25">
      <c r="A122" s="85">
        <v>46</v>
      </c>
      <c r="B122" s="185" t="s">
        <v>185</v>
      </c>
      <c r="C122" s="58" t="s">
        <v>186</v>
      </c>
      <c r="D122" s="70" t="s">
        <v>335</v>
      </c>
      <c r="E122" s="96">
        <v>2370</v>
      </c>
      <c r="F122" s="96">
        <v>2400</v>
      </c>
      <c r="G122" s="87">
        <v>30</v>
      </c>
      <c r="H122" s="183">
        <v>20500</v>
      </c>
      <c r="I122" s="177">
        <v>29250</v>
      </c>
      <c r="J122" s="178">
        <v>49750</v>
      </c>
      <c r="K122" s="165"/>
      <c r="L122" s="1"/>
      <c r="M122" s="183">
        <v>49750</v>
      </c>
    </row>
    <row r="123" spans="1:13" x14ac:dyDescent="0.25">
      <c r="A123" s="213">
        <v>47</v>
      </c>
      <c r="B123" s="179" t="s">
        <v>187</v>
      </c>
      <c r="C123" s="180" t="s">
        <v>188</v>
      </c>
      <c r="D123" s="181" t="s">
        <v>335</v>
      </c>
      <c r="E123" s="182">
        <v>3575</v>
      </c>
      <c r="F123" s="182">
        <v>4023</v>
      </c>
      <c r="G123" s="87">
        <v>14</v>
      </c>
      <c r="H123" s="110">
        <v>7590</v>
      </c>
      <c r="I123" s="177">
        <v>12800</v>
      </c>
      <c r="J123" s="178">
        <v>20390</v>
      </c>
      <c r="K123" s="266">
        <v>20390</v>
      </c>
      <c r="L123" s="1" t="s">
        <v>435</v>
      </c>
      <c r="M123" s="231">
        <v>7590</v>
      </c>
    </row>
    <row r="124" spans="1:13" x14ac:dyDescent="0.25">
      <c r="A124" s="85">
        <v>48</v>
      </c>
      <c r="B124" s="185" t="s">
        <v>189</v>
      </c>
      <c r="C124" s="58" t="s">
        <v>190</v>
      </c>
      <c r="D124" s="70" t="s">
        <v>335</v>
      </c>
      <c r="E124" s="96">
        <v>18</v>
      </c>
      <c r="F124" s="96">
        <v>1</v>
      </c>
      <c r="G124" s="87">
        <v>1</v>
      </c>
      <c r="H124" s="183">
        <v>2700</v>
      </c>
      <c r="I124" s="177">
        <v>3700</v>
      </c>
      <c r="J124" s="178">
        <v>6400</v>
      </c>
      <c r="K124" s="177">
        <v>6400</v>
      </c>
      <c r="L124" s="1" t="s">
        <v>376</v>
      </c>
      <c r="M124" s="183">
        <v>0</v>
      </c>
    </row>
    <row r="125" spans="1:13" x14ac:dyDescent="0.25">
      <c r="A125" s="159">
        <v>49</v>
      </c>
      <c r="B125" s="184" t="s">
        <v>191</v>
      </c>
      <c r="C125" s="153" t="s">
        <v>192</v>
      </c>
      <c r="D125" s="154" t="s">
        <v>335</v>
      </c>
      <c r="E125" s="155">
        <v>2611</v>
      </c>
      <c r="F125" s="155">
        <v>2628</v>
      </c>
      <c r="G125" s="156">
        <v>17</v>
      </c>
      <c r="H125" s="164">
        <v>11800</v>
      </c>
      <c r="I125" s="164">
        <v>8850</v>
      </c>
      <c r="J125" s="176">
        <v>20650</v>
      </c>
      <c r="K125" s="164">
        <v>20649</v>
      </c>
      <c r="L125" s="160" t="s">
        <v>435</v>
      </c>
      <c r="M125" s="164">
        <v>11800</v>
      </c>
    </row>
    <row r="126" spans="1:13" x14ac:dyDescent="0.25">
      <c r="A126" s="85">
        <v>50</v>
      </c>
      <c r="B126" s="185" t="s">
        <v>193</v>
      </c>
      <c r="C126" s="58" t="s">
        <v>194</v>
      </c>
      <c r="D126" s="70" t="s">
        <v>335</v>
      </c>
      <c r="E126" s="96">
        <v>3260</v>
      </c>
      <c r="F126" s="96">
        <v>3275</v>
      </c>
      <c r="G126" s="87">
        <v>15</v>
      </c>
      <c r="H126" s="183">
        <v>9300</v>
      </c>
      <c r="I126" s="177">
        <v>13500</v>
      </c>
      <c r="J126" s="178">
        <v>22800</v>
      </c>
      <c r="K126" s="177">
        <v>22800</v>
      </c>
      <c r="L126" s="1"/>
      <c r="M126" s="183">
        <v>0</v>
      </c>
    </row>
    <row r="127" spans="1:13" x14ac:dyDescent="0.25">
      <c r="A127" s="159">
        <v>51</v>
      </c>
      <c r="B127" s="184" t="s">
        <v>195</v>
      </c>
      <c r="C127" s="153" t="s">
        <v>196</v>
      </c>
      <c r="D127" s="154" t="s">
        <v>335</v>
      </c>
      <c r="E127" s="155">
        <v>2620</v>
      </c>
      <c r="F127" s="155">
        <v>2632</v>
      </c>
      <c r="G127" s="156">
        <v>12</v>
      </c>
      <c r="H127" s="164">
        <v>0</v>
      </c>
      <c r="I127" s="164">
        <v>5700</v>
      </c>
      <c r="J127" s="176">
        <v>5700</v>
      </c>
      <c r="K127" s="271">
        <v>5700</v>
      </c>
      <c r="L127" s="160" t="s">
        <v>435</v>
      </c>
      <c r="M127" s="164">
        <v>0</v>
      </c>
    </row>
    <row r="128" spans="1:13" x14ac:dyDescent="0.25">
      <c r="A128" s="213">
        <v>52</v>
      </c>
      <c r="B128" s="179" t="s">
        <v>361</v>
      </c>
      <c r="C128" s="180" t="s">
        <v>198</v>
      </c>
      <c r="D128" s="181" t="s">
        <v>335</v>
      </c>
      <c r="E128" s="182">
        <v>1533</v>
      </c>
      <c r="F128" s="182">
        <v>1545</v>
      </c>
      <c r="G128" s="87">
        <v>12</v>
      </c>
      <c r="H128" s="183">
        <v>32800</v>
      </c>
      <c r="I128" s="177">
        <v>11400</v>
      </c>
      <c r="J128" s="178">
        <v>44200</v>
      </c>
      <c r="K128" s="165"/>
      <c r="L128" s="1"/>
      <c r="M128" s="183">
        <v>44200</v>
      </c>
    </row>
    <row r="129" spans="1:13" x14ac:dyDescent="0.25">
      <c r="A129" s="85">
        <v>53</v>
      </c>
      <c r="B129" s="185" t="s">
        <v>199</v>
      </c>
      <c r="C129" s="58" t="s">
        <v>200</v>
      </c>
      <c r="D129" s="70" t="s">
        <v>335</v>
      </c>
      <c r="E129" s="96">
        <v>1393</v>
      </c>
      <c r="F129" s="96">
        <v>1401</v>
      </c>
      <c r="G129" s="87">
        <v>8</v>
      </c>
      <c r="H129" s="183">
        <v>3000</v>
      </c>
      <c r="I129" s="177">
        <v>8600</v>
      </c>
      <c r="J129" s="178">
        <v>11600</v>
      </c>
      <c r="K129" s="165"/>
      <c r="L129" s="1"/>
      <c r="M129" s="183">
        <v>11600</v>
      </c>
    </row>
    <row r="130" spans="1:13" x14ac:dyDescent="0.25">
      <c r="A130" s="85">
        <v>54</v>
      </c>
      <c r="B130" s="185" t="s">
        <v>201</v>
      </c>
      <c r="C130" s="58" t="s">
        <v>202</v>
      </c>
      <c r="D130" s="70" t="s">
        <v>335</v>
      </c>
      <c r="E130" s="96">
        <v>559</v>
      </c>
      <c r="F130" s="96">
        <v>560</v>
      </c>
      <c r="G130" s="87">
        <v>1</v>
      </c>
      <c r="H130" s="183">
        <v>7400</v>
      </c>
      <c r="I130" s="177">
        <v>3700</v>
      </c>
      <c r="J130" s="178">
        <v>11100</v>
      </c>
      <c r="K130" s="165"/>
      <c r="L130" s="1"/>
      <c r="M130" s="183">
        <v>11100</v>
      </c>
    </row>
    <row r="131" spans="1:13" x14ac:dyDescent="0.25">
      <c r="A131" s="85">
        <v>55</v>
      </c>
      <c r="B131" s="185" t="s">
        <v>203</v>
      </c>
      <c r="C131" s="58" t="s">
        <v>204</v>
      </c>
      <c r="D131" s="70" t="s">
        <v>335</v>
      </c>
      <c r="E131" s="96">
        <v>2720</v>
      </c>
      <c r="F131" s="96">
        <v>2720</v>
      </c>
      <c r="G131" s="87">
        <v>0</v>
      </c>
      <c r="H131" s="183">
        <v>0</v>
      </c>
      <c r="I131" s="177">
        <v>3000</v>
      </c>
      <c r="J131" s="178">
        <v>3000</v>
      </c>
      <c r="K131" s="165"/>
      <c r="L131" s="1"/>
      <c r="M131" s="183">
        <v>3000</v>
      </c>
    </row>
    <row r="132" spans="1:13" x14ac:dyDescent="0.25">
      <c r="A132" s="85">
        <v>56</v>
      </c>
      <c r="B132" s="185" t="s">
        <v>205</v>
      </c>
      <c r="C132" s="58" t="s">
        <v>206</v>
      </c>
      <c r="D132" s="70" t="s">
        <v>335</v>
      </c>
      <c r="E132" s="96">
        <v>1023</v>
      </c>
      <c r="F132" s="96">
        <v>1028</v>
      </c>
      <c r="G132" s="87">
        <v>5</v>
      </c>
      <c r="H132" s="183">
        <v>0</v>
      </c>
      <c r="I132" s="177">
        <v>6500</v>
      </c>
      <c r="J132" s="178">
        <v>6500</v>
      </c>
      <c r="K132" s="177">
        <v>6500</v>
      </c>
      <c r="L132" s="1" t="s">
        <v>435</v>
      </c>
      <c r="M132" s="183">
        <v>0</v>
      </c>
    </row>
    <row r="133" spans="1:13" x14ac:dyDescent="0.25">
      <c r="A133" s="85">
        <v>57</v>
      </c>
      <c r="B133" s="185" t="s">
        <v>207</v>
      </c>
      <c r="C133" s="58" t="s">
        <v>208</v>
      </c>
      <c r="D133" s="70" t="s">
        <v>335</v>
      </c>
      <c r="E133" s="96">
        <v>185</v>
      </c>
      <c r="F133" s="96">
        <v>186</v>
      </c>
      <c r="G133" s="87">
        <v>1</v>
      </c>
      <c r="H133" s="183">
        <v>0</v>
      </c>
      <c r="I133" s="177">
        <v>3700</v>
      </c>
      <c r="J133" s="178">
        <v>3700</v>
      </c>
      <c r="K133" s="187"/>
      <c r="L133" s="1"/>
      <c r="M133" s="183">
        <v>3700</v>
      </c>
    </row>
    <row r="134" spans="1:13" x14ac:dyDescent="0.25">
      <c r="A134" s="85">
        <v>58</v>
      </c>
      <c r="B134" s="185" t="s">
        <v>209</v>
      </c>
      <c r="C134" s="58" t="s">
        <v>210</v>
      </c>
      <c r="D134" s="70" t="s">
        <v>335</v>
      </c>
      <c r="E134" s="96">
        <v>91</v>
      </c>
      <c r="F134" s="96">
        <v>92</v>
      </c>
      <c r="G134" s="87">
        <v>1</v>
      </c>
      <c r="H134" s="183">
        <v>3000</v>
      </c>
      <c r="I134" s="177">
        <v>3700</v>
      </c>
      <c r="J134" s="178">
        <v>6700</v>
      </c>
      <c r="K134" s="165"/>
      <c r="L134" s="1"/>
      <c r="M134" s="183">
        <v>6700</v>
      </c>
    </row>
    <row r="135" spans="1:13" x14ac:dyDescent="0.25">
      <c r="A135" s="85">
        <v>59</v>
      </c>
      <c r="B135" s="185" t="s">
        <v>211</v>
      </c>
      <c r="C135" s="58" t="s">
        <v>212</v>
      </c>
      <c r="D135" s="70" t="s">
        <v>335</v>
      </c>
      <c r="E135" s="96">
        <v>2015</v>
      </c>
      <c r="F135" s="96">
        <v>2026</v>
      </c>
      <c r="G135" s="87">
        <v>11</v>
      </c>
      <c r="H135" s="183">
        <v>0</v>
      </c>
      <c r="I135" s="177">
        <v>10700</v>
      </c>
      <c r="J135" s="178">
        <v>10700</v>
      </c>
      <c r="K135" s="165"/>
      <c r="L135" s="1"/>
      <c r="M135" s="183">
        <v>10700</v>
      </c>
    </row>
    <row r="136" spans="1:13" x14ac:dyDescent="0.25">
      <c r="A136" s="85">
        <v>60</v>
      </c>
      <c r="B136" s="185" t="s">
        <v>218</v>
      </c>
      <c r="C136" s="58" t="s">
        <v>217</v>
      </c>
      <c r="D136" s="70" t="s">
        <v>335</v>
      </c>
      <c r="E136" s="96">
        <v>943</v>
      </c>
      <c r="F136" s="96">
        <v>960</v>
      </c>
      <c r="G136" s="87">
        <v>17</v>
      </c>
      <c r="H136" s="183">
        <v>12100</v>
      </c>
      <c r="I136" s="177">
        <v>15600</v>
      </c>
      <c r="J136" s="178">
        <v>27700</v>
      </c>
      <c r="K136" s="165"/>
      <c r="L136" s="1"/>
      <c r="M136" s="183">
        <v>27700</v>
      </c>
    </row>
    <row r="137" spans="1:13" x14ac:dyDescent="0.25">
      <c r="A137" s="85">
        <v>61</v>
      </c>
      <c r="B137" s="285" t="s">
        <v>213</v>
      </c>
      <c r="C137" s="278" t="s">
        <v>214</v>
      </c>
      <c r="D137" s="279" t="s">
        <v>335</v>
      </c>
      <c r="E137" s="280">
        <v>730</v>
      </c>
      <c r="F137" s="280">
        <v>740</v>
      </c>
      <c r="G137" s="281">
        <v>10</v>
      </c>
      <c r="H137" s="286">
        <v>10850</v>
      </c>
      <c r="I137" s="286">
        <v>10000</v>
      </c>
      <c r="J137" s="287">
        <v>20850</v>
      </c>
      <c r="K137" s="288"/>
      <c r="L137" s="288"/>
      <c r="M137" s="286">
        <v>20850</v>
      </c>
    </row>
    <row r="138" spans="1:13" x14ac:dyDescent="0.25">
      <c r="A138" s="85">
        <v>62</v>
      </c>
      <c r="B138" s="185" t="s">
        <v>215</v>
      </c>
      <c r="C138" s="58" t="s">
        <v>216</v>
      </c>
      <c r="D138" s="70" t="s">
        <v>335</v>
      </c>
      <c r="E138" s="96">
        <v>4137</v>
      </c>
      <c r="F138" s="96">
        <v>4137</v>
      </c>
      <c r="G138" s="87">
        <v>0</v>
      </c>
      <c r="H138" s="183">
        <v>9300</v>
      </c>
      <c r="I138" s="177">
        <v>3000</v>
      </c>
      <c r="J138" s="178">
        <v>12300</v>
      </c>
      <c r="K138" s="177">
        <v>12300</v>
      </c>
      <c r="L138" s="1" t="s">
        <v>424</v>
      </c>
      <c r="M138" s="183">
        <v>0</v>
      </c>
    </row>
    <row r="139" spans="1:13" x14ac:dyDescent="0.25">
      <c r="A139" s="85">
        <v>63</v>
      </c>
      <c r="B139" s="185" t="s">
        <v>219</v>
      </c>
      <c r="C139" s="58" t="s">
        <v>220</v>
      </c>
      <c r="D139" s="70" t="s">
        <v>335</v>
      </c>
      <c r="E139" s="96">
        <v>313</v>
      </c>
      <c r="F139" s="96">
        <v>313</v>
      </c>
      <c r="G139" s="87">
        <v>0</v>
      </c>
      <c r="H139" s="183">
        <v>59700</v>
      </c>
      <c r="I139" s="177">
        <v>3000</v>
      </c>
      <c r="J139" s="178">
        <v>62700</v>
      </c>
      <c r="K139" s="177">
        <v>62700</v>
      </c>
      <c r="L139" s="1" t="s">
        <v>424</v>
      </c>
      <c r="M139" s="183">
        <v>30000</v>
      </c>
    </row>
    <row r="140" spans="1:13" x14ac:dyDescent="0.25">
      <c r="A140" s="85">
        <v>64</v>
      </c>
      <c r="B140" s="185" t="s">
        <v>221</v>
      </c>
      <c r="C140" s="58" t="s">
        <v>222</v>
      </c>
      <c r="D140" s="70" t="s">
        <v>335</v>
      </c>
      <c r="E140" s="96">
        <v>1770</v>
      </c>
      <c r="F140" s="96">
        <v>1803</v>
      </c>
      <c r="G140" s="87">
        <v>33</v>
      </c>
      <c r="H140" s="183">
        <v>0</v>
      </c>
      <c r="I140" s="177">
        <v>33450</v>
      </c>
      <c r="J140" s="178">
        <v>33450</v>
      </c>
      <c r="K140" s="165">
        <v>33450</v>
      </c>
      <c r="L140" s="1" t="s">
        <v>435</v>
      </c>
      <c r="M140" s="183">
        <v>0</v>
      </c>
    </row>
    <row r="141" spans="1:13" x14ac:dyDescent="0.25">
      <c r="A141" s="85">
        <v>65</v>
      </c>
      <c r="B141" s="185" t="s">
        <v>223</v>
      </c>
      <c r="C141" s="58" t="s">
        <v>224</v>
      </c>
      <c r="D141" s="70" t="s">
        <v>335</v>
      </c>
      <c r="E141" s="96">
        <v>2208</v>
      </c>
      <c r="F141" s="96">
        <v>2250</v>
      </c>
      <c r="G141" s="87">
        <v>42</v>
      </c>
      <c r="H141" s="183">
        <v>0</v>
      </c>
      <c r="I141" s="177">
        <v>46050</v>
      </c>
      <c r="J141" s="178">
        <v>46050</v>
      </c>
      <c r="K141" s="165">
        <v>46050</v>
      </c>
      <c r="L141" s="1" t="s">
        <v>434</v>
      </c>
      <c r="M141" s="183">
        <v>0</v>
      </c>
    </row>
    <row r="142" spans="1:13" x14ac:dyDescent="0.25">
      <c r="A142" s="85">
        <v>66</v>
      </c>
      <c r="B142" s="185" t="s">
        <v>225</v>
      </c>
      <c r="C142" s="58" t="s">
        <v>226</v>
      </c>
      <c r="D142" s="70" t="s">
        <v>335</v>
      </c>
      <c r="E142" s="96">
        <v>1385</v>
      </c>
      <c r="F142" s="96">
        <v>1400</v>
      </c>
      <c r="G142" s="87">
        <v>15</v>
      </c>
      <c r="H142" s="183">
        <v>12100</v>
      </c>
      <c r="I142" s="177">
        <v>13500</v>
      </c>
      <c r="J142" s="178">
        <v>25600</v>
      </c>
      <c r="K142" s="177">
        <v>25600</v>
      </c>
      <c r="L142" s="1" t="s">
        <v>424</v>
      </c>
      <c r="M142" s="183">
        <v>0</v>
      </c>
    </row>
    <row r="143" spans="1:13" x14ac:dyDescent="0.25">
      <c r="A143" s="85">
        <v>67</v>
      </c>
      <c r="B143" s="185" t="s">
        <v>227</v>
      </c>
      <c r="C143" s="58" t="s">
        <v>228</v>
      </c>
      <c r="D143" s="70" t="s">
        <v>335</v>
      </c>
      <c r="E143" s="96"/>
      <c r="F143" s="96"/>
      <c r="G143" s="87"/>
      <c r="H143" s="166"/>
      <c r="I143" s="165"/>
      <c r="J143" s="167"/>
      <c r="K143" s="165"/>
      <c r="L143" s="1"/>
      <c r="M143" s="166"/>
    </row>
    <row r="144" spans="1:13" x14ac:dyDescent="0.25">
      <c r="A144" s="85">
        <v>68</v>
      </c>
      <c r="B144" s="185" t="s">
        <v>229</v>
      </c>
      <c r="C144" s="58" t="s">
        <v>230</v>
      </c>
      <c r="D144" s="70" t="s">
        <v>335</v>
      </c>
      <c r="E144" s="96">
        <v>1475</v>
      </c>
      <c r="F144" s="96">
        <v>1487</v>
      </c>
      <c r="G144" s="87">
        <v>12</v>
      </c>
      <c r="H144" s="183">
        <v>51100</v>
      </c>
      <c r="I144" s="177">
        <v>11400</v>
      </c>
      <c r="J144" s="178">
        <v>62500</v>
      </c>
      <c r="K144" s="177"/>
      <c r="L144" s="1"/>
      <c r="M144" s="183">
        <v>62500</v>
      </c>
    </row>
    <row r="145" spans="1:13" x14ac:dyDescent="0.25">
      <c r="A145" s="159">
        <v>69</v>
      </c>
      <c r="B145" s="184" t="s">
        <v>231</v>
      </c>
      <c r="C145" s="153" t="s">
        <v>232</v>
      </c>
      <c r="D145" s="154" t="s">
        <v>335</v>
      </c>
      <c r="E145" s="155">
        <v>4405</v>
      </c>
      <c r="F145" s="155">
        <v>4437</v>
      </c>
      <c r="G145" s="156">
        <v>32</v>
      </c>
      <c r="H145" s="157">
        <v>53090</v>
      </c>
      <c r="I145" s="164">
        <v>25300</v>
      </c>
      <c r="J145" s="176">
        <v>78390</v>
      </c>
      <c r="K145" s="164">
        <v>78390</v>
      </c>
      <c r="L145" s="160" t="s">
        <v>424</v>
      </c>
      <c r="M145" s="157">
        <v>53090</v>
      </c>
    </row>
    <row r="146" spans="1:13" x14ac:dyDescent="0.25">
      <c r="A146" s="85">
        <v>70</v>
      </c>
      <c r="B146" s="185" t="s">
        <v>233</v>
      </c>
      <c r="C146" s="58" t="s">
        <v>234</v>
      </c>
      <c r="D146" s="70" t="s">
        <v>335</v>
      </c>
      <c r="E146" s="96">
        <v>5597</v>
      </c>
      <c r="F146" s="96">
        <v>5614</v>
      </c>
      <c r="G146" s="87">
        <v>17</v>
      </c>
      <c r="H146" s="183">
        <v>26670</v>
      </c>
      <c r="I146" s="177">
        <v>13500</v>
      </c>
      <c r="J146" s="178">
        <v>40170</v>
      </c>
      <c r="K146" s="177">
        <v>40170</v>
      </c>
      <c r="L146" s="1" t="s">
        <v>434</v>
      </c>
      <c r="M146" s="183">
        <v>26670</v>
      </c>
    </row>
    <row r="147" spans="1:13" x14ac:dyDescent="0.25">
      <c r="A147" s="85">
        <v>71</v>
      </c>
      <c r="B147" s="185" t="s">
        <v>235</v>
      </c>
      <c r="C147" s="58" t="s">
        <v>236</v>
      </c>
      <c r="D147" s="70" t="s">
        <v>335</v>
      </c>
      <c r="E147" s="96">
        <v>1620</v>
      </c>
      <c r="F147" s="96">
        <v>1650</v>
      </c>
      <c r="G147" s="87">
        <v>30</v>
      </c>
      <c r="H147" s="183">
        <v>0</v>
      </c>
      <c r="I147" s="177">
        <v>29250</v>
      </c>
      <c r="J147" s="178">
        <v>29250</v>
      </c>
      <c r="K147" s="177">
        <v>29250</v>
      </c>
      <c r="L147" s="1" t="s">
        <v>435</v>
      </c>
      <c r="M147" s="183">
        <v>0</v>
      </c>
    </row>
    <row r="148" spans="1:13" x14ac:dyDescent="0.25">
      <c r="A148" s="85">
        <v>72</v>
      </c>
      <c r="B148" s="185" t="s">
        <v>237</v>
      </c>
      <c r="C148" s="58" t="s">
        <v>238</v>
      </c>
      <c r="D148" s="70" t="s">
        <v>335</v>
      </c>
      <c r="E148" s="96">
        <v>3410</v>
      </c>
      <c r="F148" s="96">
        <v>3468</v>
      </c>
      <c r="G148" s="87">
        <v>58</v>
      </c>
      <c r="H148" s="183">
        <v>0</v>
      </c>
      <c r="I148" s="177">
        <v>68450</v>
      </c>
      <c r="J148" s="178">
        <v>68450</v>
      </c>
      <c r="K148" s="177">
        <v>68450</v>
      </c>
      <c r="L148" s="1" t="s">
        <v>435</v>
      </c>
      <c r="M148" s="183">
        <v>0</v>
      </c>
    </row>
    <row r="149" spans="1:13" x14ac:dyDescent="0.25">
      <c r="A149" s="85">
        <v>73</v>
      </c>
      <c r="B149" s="185" t="s">
        <v>420</v>
      </c>
      <c r="C149" s="58" t="s">
        <v>240</v>
      </c>
      <c r="D149" s="70" t="s">
        <v>335</v>
      </c>
      <c r="E149" s="96">
        <v>3052</v>
      </c>
      <c r="F149" s="96">
        <v>3110</v>
      </c>
      <c r="G149" s="87">
        <v>58</v>
      </c>
      <c r="H149" s="183">
        <v>113000</v>
      </c>
      <c r="I149" s="177">
        <v>68450</v>
      </c>
      <c r="J149" s="178">
        <v>181450</v>
      </c>
      <c r="K149" s="177"/>
      <c r="L149" s="1"/>
      <c r="M149" s="183">
        <v>181450</v>
      </c>
    </row>
    <row r="150" spans="1:13" x14ac:dyDescent="0.25">
      <c r="A150" s="85">
        <v>74</v>
      </c>
      <c r="B150" s="185" t="s">
        <v>241</v>
      </c>
      <c r="C150" s="58" t="s">
        <v>242</v>
      </c>
      <c r="D150" s="70" t="s">
        <v>335</v>
      </c>
      <c r="E150" s="96">
        <v>4431</v>
      </c>
      <c r="F150" s="96">
        <v>4474</v>
      </c>
      <c r="G150" s="87">
        <v>43</v>
      </c>
      <c r="H150" s="183">
        <v>87900</v>
      </c>
      <c r="I150" s="177">
        <v>47450</v>
      </c>
      <c r="J150" s="178">
        <v>135350</v>
      </c>
      <c r="K150" s="177">
        <v>135350</v>
      </c>
      <c r="L150" s="1" t="s">
        <v>435</v>
      </c>
      <c r="M150" s="183">
        <v>0</v>
      </c>
    </row>
    <row r="151" spans="1:13" x14ac:dyDescent="0.25">
      <c r="A151" s="85">
        <v>75</v>
      </c>
      <c r="B151" s="185" t="s">
        <v>243</v>
      </c>
      <c r="C151" s="58" t="s">
        <v>244</v>
      </c>
      <c r="D151" s="70" t="s">
        <v>335</v>
      </c>
      <c r="E151" s="96">
        <v>4200</v>
      </c>
      <c r="F151" s="96">
        <v>4243</v>
      </c>
      <c r="G151" s="87">
        <v>43</v>
      </c>
      <c r="H151" s="166">
        <v>0</v>
      </c>
      <c r="I151" s="177">
        <v>47450</v>
      </c>
      <c r="J151" s="178">
        <v>47450</v>
      </c>
      <c r="K151" s="177">
        <v>47450</v>
      </c>
      <c r="L151" s="1" t="s">
        <v>434</v>
      </c>
      <c r="M151" s="183">
        <v>0</v>
      </c>
    </row>
    <row r="152" spans="1:13" x14ac:dyDescent="0.25">
      <c r="A152" s="85">
        <v>76</v>
      </c>
      <c r="B152" s="185" t="s">
        <v>245</v>
      </c>
      <c r="C152" s="58" t="s">
        <v>246</v>
      </c>
      <c r="D152" s="70" t="s">
        <v>335</v>
      </c>
      <c r="E152" s="96">
        <v>6835</v>
      </c>
      <c r="F152" s="96">
        <v>6867</v>
      </c>
      <c r="G152" s="87">
        <v>32</v>
      </c>
      <c r="H152" s="183">
        <v>0</v>
      </c>
      <c r="I152" s="177">
        <v>32050</v>
      </c>
      <c r="J152" s="178">
        <v>32050</v>
      </c>
      <c r="K152" s="266">
        <v>32050</v>
      </c>
      <c r="L152" s="1" t="s">
        <v>435</v>
      </c>
      <c r="M152" s="183">
        <v>0</v>
      </c>
    </row>
    <row r="153" spans="1:13" x14ac:dyDescent="0.25">
      <c r="A153" s="85">
        <v>77</v>
      </c>
      <c r="B153" s="179" t="s">
        <v>247</v>
      </c>
      <c r="C153" s="180" t="s">
        <v>248</v>
      </c>
      <c r="D153" s="181" t="s">
        <v>335</v>
      </c>
      <c r="E153" s="182">
        <v>914</v>
      </c>
      <c r="F153" s="182">
        <v>947</v>
      </c>
      <c r="G153" s="87">
        <v>33</v>
      </c>
      <c r="H153" s="192">
        <v>700</v>
      </c>
      <c r="I153" s="177">
        <v>33450</v>
      </c>
      <c r="J153" s="178">
        <v>32750</v>
      </c>
      <c r="K153" s="177"/>
      <c r="L153" s="1"/>
      <c r="M153" s="183">
        <v>32750</v>
      </c>
    </row>
    <row r="154" spans="1:13" x14ac:dyDescent="0.25">
      <c r="A154" s="85">
        <v>78</v>
      </c>
      <c r="B154" s="185" t="s">
        <v>249</v>
      </c>
      <c r="C154" s="58" t="s">
        <v>442</v>
      </c>
      <c r="D154" s="70" t="s">
        <v>335</v>
      </c>
      <c r="E154" s="96">
        <v>1915</v>
      </c>
      <c r="F154" s="96">
        <v>1944</v>
      </c>
      <c r="G154" s="87">
        <v>29</v>
      </c>
      <c r="H154" s="183">
        <v>45390</v>
      </c>
      <c r="I154" s="177">
        <v>28200</v>
      </c>
      <c r="J154" s="178">
        <v>86930</v>
      </c>
      <c r="K154" s="165"/>
      <c r="L154" s="1"/>
      <c r="M154" s="183">
        <v>100270</v>
      </c>
    </row>
    <row r="155" spans="1:13" x14ac:dyDescent="0.25">
      <c r="A155" s="85">
        <v>79</v>
      </c>
      <c r="B155" s="185" t="s">
        <v>353</v>
      </c>
      <c r="C155" s="58" t="s">
        <v>442</v>
      </c>
      <c r="D155" s="70" t="s">
        <v>335</v>
      </c>
      <c r="E155" s="96">
        <v>493</v>
      </c>
      <c r="F155" s="96">
        <v>496</v>
      </c>
      <c r="G155" s="87">
        <v>3</v>
      </c>
      <c r="H155" s="183">
        <v>5800</v>
      </c>
      <c r="I155" s="177">
        <v>5100</v>
      </c>
      <c r="J155" s="178">
        <v>10900</v>
      </c>
      <c r="K155" s="165"/>
      <c r="L155" s="1"/>
      <c r="M155" s="183">
        <v>10900</v>
      </c>
    </row>
    <row r="156" spans="1:13" x14ac:dyDescent="0.25">
      <c r="A156" s="85">
        <v>80</v>
      </c>
      <c r="B156" s="185" t="s">
        <v>251</v>
      </c>
      <c r="C156" s="58"/>
      <c r="D156" s="70" t="s">
        <v>335</v>
      </c>
      <c r="E156" s="96">
        <v>743</v>
      </c>
      <c r="F156" s="96">
        <v>743</v>
      </c>
      <c r="G156" s="87">
        <v>0</v>
      </c>
      <c r="H156" s="193">
        <v>95100</v>
      </c>
      <c r="I156" s="177">
        <v>3000</v>
      </c>
      <c r="J156" s="178">
        <v>98100</v>
      </c>
      <c r="K156" s="165"/>
      <c r="L156" s="1"/>
      <c r="M156" s="183">
        <v>98100</v>
      </c>
    </row>
    <row r="157" spans="1:13" x14ac:dyDescent="0.25">
      <c r="A157" s="85">
        <v>81</v>
      </c>
      <c r="B157" s="185" t="s">
        <v>252</v>
      </c>
      <c r="C157" s="58" t="s">
        <v>253</v>
      </c>
      <c r="D157" s="70" t="s">
        <v>335</v>
      </c>
      <c r="E157" s="96">
        <v>1993</v>
      </c>
      <c r="F157" s="96">
        <v>1993</v>
      </c>
      <c r="G157" s="87">
        <v>0</v>
      </c>
      <c r="H157" s="183">
        <v>0</v>
      </c>
      <c r="I157" s="177">
        <v>3000</v>
      </c>
      <c r="J157" s="178">
        <v>3000</v>
      </c>
      <c r="K157" s="165"/>
      <c r="L157" s="1"/>
      <c r="M157" s="183">
        <v>3000</v>
      </c>
    </row>
    <row r="158" spans="1:13" x14ac:dyDescent="0.25">
      <c r="A158" s="85">
        <v>82</v>
      </c>
      <c r="B158" s="185" t="s">
        <v>443</v>
      </c>
      <c r="C158" s="58" t="s">
        <v>255</v>
      </c>
      <c r="D158" s="70" t="s">
        <v>335</v>
      </c>
      <c r="E158" s="96">
        <v>2244</v>
      </c>
      <c r="F158" s="96">
        <v>2244</v>
      </c>
      <c r="G158" s="87">
        <v>0</v>
      </c>
      <c r="H158" s="183">
        <v>27000</v>
      </c>
      <c r="I158" s="177">
        <v>3000</v>
      </c>
      <c r="J158" s="178">
        <v>30000</v>
      </c>
      <c r="K158" s="177">
        <v>30000</v>
      </c>
      <c r="L158" s="1" t="s">
        <v>435</v>
      </c>
      <c r="M158" s="183">
        <v>30000</v>
      </c>
    </row>
    <row r="159" spans="1:13" x14ac:dyDescent="0.25">
      <c r="A159" s="85">
        <v>83</v>
      </c>
      <c r="B159" s="185" t="s">
        <v>4</v>
      </c>
      <c r="C159" s="58"/>
      <c r="D159" s="70" t="s">
        <v>335</v>
      </c>
      <c r="E159" s="96">
        <v>228</v>
      </c>
      <c r="F159" s="96">
        <v>0</v>
      </c>
      <c r="G159" s="87">
        <v>0</v>
      </c>
      <c r="H159" s="183">
        <v>3000</v>
      </c>
      <c r="I159" s="177">
        <v>3000</v>
      </c>
      <c r="J159" s="178">
        <v>6000</v>
      </c>
      <c r="K159" s="177">
        <v>3000</v>
      </c>
      <c r="L159" s="1" t="s">
        <v>424</v>
      </c>
      <c r="M159" s="183">
        <v>3000</v>
      </c>
    </row>
    <row r="160" spans="1:13" x14ac:dyDescent="0.25">
      <c r="A160" s="85">
        <v>84</v>
      </c>
      <c r="B160" s="185" t="s">
        <v>256</v>
      </c>
      <c r="C160" s="58" t="s">
        <v>257</v>
      </c>
      <c r="D160" s="70" t="s">
        <v>335</v>
      </c>
      <c r="E160" s="96">
        <v>508</v>
      </c>
      <c r="F160" s="96">
        <v>510</v>
      </c>
      <c r="G160" s="87">
        <v>2</v>
      </c>
      <c r="H160" s="183">
        <v>4400</v>
      </c>
      <c r="I160" s="177">
        <v>4400</v>
      </c>
      <c r="J160" s="178">
        <v>8800</v>
      </c>
      <c r="K160" s="177">
        <v>8000</v>
      </c>
      <c r="L160" s="1" t="s">
        <v>424</v>
      </c>
      <c r="M160" s="183">
        <v>0</v>
      </c>
    </row>
    <row r="161" spans="1:13" x14ac:dyDescent="0.25">
      <c r="A161" s="85">
        <v>85</v>
      </c>
      <c r="B161" s="185" t="s">
        <v>258</v>
      </c>
      <c r="C161" s="58" t="s">
        <v>259</v>
      </c>
      <c r="D161" s="70" t="s">
        <v>335</v>
      </c>
      <c r="E161" s="96">
        <v>605</v>
      </c>
      <c r="F161" s="96">
        <v>0</v>
      </c>
      <c r="G161" s="87">
        <v>0</v>
      </c>
      <c r="H161" s="183">
        <v>0</v>
      </c>
      <c r="I161" s="177">
        <v>3000</v>
      </c>
      <c r="J161" s="178">
        <v>21670</v>
      </c>
      <c r="K161" s="165"/>
      <c r="L161" s="1"/>
      <c r="M161" s="183">
        <v>40340</v>
      </c>
    </row>
    <row r="162" spans="1:13" x14ac:dyDescent="0.25">
      <c r="A162" s="85">
        <v>86</v>
      </c>
      <c r="B162" s="185" t="s">
        <v>260</v>
      </c>
      <c r="C162" s="58" t="s">
        <v>261</v>
      </c>
      <c r="D162" s="70" t="s">
        <v>335</v>
      </c>
      <c r="E162" s="96">
        <v>320</v>
      </c>
      <c r="F162" s="96">
        <v>340</v>
      </c>
      <c r="G162" s="87">
        <v>20</v>
      </c>
      <c r="H162" s="183">
        <v>16650</v>
      </c>
      <c r="I162" s="177">
        <v>18750</v>
      </c>
      <c r="J162" s="178">
        <v>35400</v>
      </c>
      <c r="K162" s="165"/>
      <c r="L162" s="1"/>
      <c r="M162" s="183">
        <v>35400</v>
      </c>
    </row>
    <row r="163" spans="1:13" x14ac:dyDescent="0.25">
      <c r="A163" s="85">
        <v>87</v>
      </c>
      <c r="B163" s="185" t="s">
        <v>262</v>
      </c>
      <c r="C163" s="58" t="s">
        <v>263</v>
      </c>
      <c r="D163" s="70" t="s">
        <v>335</v>
      </c>
      <c r="E163" s="96">
        <v>495</v>
      </c>
      <c r="F163" s="96">
        <v>520</v>
      </c>
      <c r="G163" s="87">
        <v>25</v>
      </c>
      <c r="H163" s="166">
        <v>0</v>
      </c>
      <c r="I163" s="177">
        <v>24000</v>
      </c>
      <c r="J163" s="178">
        <v>24000</v>
      </c>
      <c r="K163" s="177">
        <v>24000</v>
      </c>
      <c r="L163" s="1" t="s">
        <v>424</v>
      </c>
      <c r="M163" s="183">
        <v>0</v>
      </c>
    </row>
    <row r="164" spans="1:13" x14ac:dyDescent="0.25">
      <c r="A164" s="85">
        <v>88</v>
      </c>
      <c r="B164" s="185" t="s">
        <v>264</v>
      </c>
      <c r="C164" s="58" t="s">
        <v>265</v>
      </c>
      <c r="D164" s="70" t="s">
        <v>335</v>
      </c>
      <c r="E164" s="96">
        <v>3570</v>
      </c>
      <c r="F164" s="96">
        <v>3583</v>
      </c>
      <c r="G164" s="87">
        <v>13</v>
      </c>
      <c r="H164" s="183">
        <v>41450</v>
      </c>
      <c r="I164" s="177">
        <v>12100</v>
      </c>
      <c r="J164" s="178">
        <v>53550</v>
      </c>
      <c r="K164" s="165"/>
      <c r="L164" s="1"/>
      <c r="M164" s="183">
        <v>53550</v>
      </c>
    </row>
    <row r="165" spans="1:13" x14ac:dyDescent="0.25">
      <c r="A165" s="214">
        <v>89</v>
      </c>
      <c r="B165" s="195" t="s">
        <v>266</v>
      </c>
      <c r="C165" s="196" t="s">
        <v>267</v>
      </c>
      <c r="D165" s="197" t="s">
        <v>335</v>
      </c>
      <c r="E165" s="198">
        <v>2</v>
      </c>
      <c r="F165" s="198">
        <v>2</v>
      </c>
      <c r="G165" s="199">
        <v>0</v>
      </c>
      <c r="H165" s="202">
        <v>88200</v>
      </c>
      <c r="I165" s="200">
        <v>3000</v>
      </c>
      <c r="J165" s="201">
        <v>91200</v>
      </c>
      <c r="K165" s="194"/>
      <c r="L165" s="194"/>
      <c r="M165" s="200">
        <v>91200</v>
      </c>
    </row>
    <row r="166" spans="1:13" x14ac:dyDescent="0.25">
      <c r="A166" s="85">
        <v>90</v>
      </c>
      <c r="B166" s="185" t="s">
        <v>268</v>
      </c>
      <c r="C166" s="58" t="s">
        <v>269</v>
      </c>
      <c r="D166" s="70" t="s">
        <v>335</v>
      </c>
      <c r="E166" s="96">
        <v>1535</v>
      </c>
      <c r="F166" s="96">
        <v>1565</v>
      </c>
      <c r="G166" s="87">
        <v>30</v>
      </c>
      <c r="H166" s="183">
        <v>4200</v>
      </c>
      <c r="I166" s="177">
        <v>29250</v>
      </c>
      <c r="J166" s="178">
        <v>33450</v>
      </c>
      <c r="K166" s="177">
        <v>33450</v>
      </c>
      <c r="L166" s="1" t="s">
        <v>434</v>
      </c>
      <c r="M166" s="183">
        <v>0</v>
      </c>
    </row>
    <row r="167" spans="1:13" x14ac:dyDescent="0.25">
      <c r="A167" s="85">
        <v>91</v>
      </c>
      <c r="B167" s="185" t="s">
        <v>271</v>
      </c>
      <c r="C167" s="58" t="s">
        <v>270</v>
      </c>
      <c r="D167" s="70" t="s">
        <v>335</v>
      </c>
      <c r="E167" s="96">
        <v>2603</v>
      </c>
      <c r="F167" s="96">
        <v>2604</v>
      </c>
      <c r="G167" s="87">
        <v>1</v>
      </c>
      <c r="H167" s="183">
        <v>7400</v>
      </c>
      <c r="I167" s="177">
        <v>3700</v>
      </c>
      <c r="J167" s="178">
        <v>11100</v>
      </c>
      <c r="K167" s="165"/>
      <c r="L167" s="1"/>
      <c r="M167" s="183">
        <v>11100</v>
      </c>
    </row>
    <row r="168" spans="1:13" x14ac:dyDescent="0.25">
      <c r="A168" s="85">
        <v>92</v>
      </c>
      <c r="B168" s="185" t="s">
        <v>374</v>
      </c>
      <c r="C168" s="58" t="s">
        <v>273</v>
      </c>
      <c r="D168" s="70" t="s">
        <v>335</v>
      </c>
      <c r="E168" s="96">
        <v>3018</v>
      </c>
      <c r="F168" s="96">
        <v>3060</v>
      </c>
      <c r="G168" s="87">
        <v>42</v>
      </c>
      <c r="H168" s="183">
        <v>0</v>
      </c>
      <c r="I168" s="177">
        <v>46050</v>
      </c>
      <c r="J168" s="178">
        <v>46050</v>
      </c>
      <c r="K168" s="165"/>
      <c r="L168" s="1"/>
      <c r="M168" s="183">
        <v>46050</v>
      </c>
    </row>
    <row r="169" spans="1:13" x14ac:dyDescent="0.25">
      <c r="A169" s="85">
        <v>93</v>
      </c>
      <c r="B169" s="185" t="s">
        <v>274</v>
      </c>
      <c r="C169" s="58" t="s">
        <v>275</v>
      </c>
      <c r="D169" s="70" t="s">
        <v>335</v>
      </c>
      <c r="E169" s="96">
        <v>8356</v>
      </c>
      <c r="F169" s="96">
        <v>8372</v>
      </c>
      <c r="G169" s="87">
        <v>16</v>
      </c>
      <c r="H169" s="183">
        <v>28550</v>
      </c>
      <c r="I169" s="177">
        <v>14550</v>
      </c>
      <c r="J169" s="178">
        <v>43100</v>
      </c>
      <c r="K169" s="266">
        <v>43100</v>
      </c>
      <c r="L169" s="1" t="s">
        <v>435</v>
      </c>
      <c r="M169" s="232">
        <v>0</v>
      </c>
    </row>
    <row r="170" spans="1:13" x14ac:dyDescent="0.25">
      <c r="A170" s="304">
        <v>94</v>
      </c>
      <c r="B170" s="195" t="s">
        <v>276</v>
      </c>
      <c r="C170" s="196" t="s">
        <v>277</v>
      </c>
      <c r="D170" s="197" t="s">
        <v>335</v>
      </c>
      <c r="E170" s="203"/>
      <c r="F170" s="203"/>
      <c r="G170" s="199"/>
      <c r="H170" s="200">
        <v>35000</v>
      </c>
      <c r="I170" s="200">
        <v>3000</v>
      </c>
      <c r="J170" s="200">
        <v>38000</v>
      </c>
      <c r="K170" s="194"/>
      <c r="L170" s="194"/>
      <c r="M170" s="200">
        <v>38000</v>
      </c>
    </row>
    <row r="171" spans="1:13" x14ac:dyDescent="0.25">
      <c r="A171" s="85">
        <v>95</v>
      </c>
      <c r="B171" s="185" t="s">
        <v>278</v>
      </c>
      <c r="C171" s="58" t="s">
        <v>279</v>
      </c>
      <c r="D171" s="70" t="s">
        <v>335</v>
      </c>
      <c r="E171" s="96">
        <v>1132</v>
      </c>
      <c r="F171" s="96">
        <v>1154</v>
      </c>
      <c r="G171" s="87">
        <v>22</v>
      </c>
      <c r="H171" s="232">
        <v>14400</v>
      </c>
      <c r="I171" s="177">
        <v>20850</v>
      </c>
      <c r="J171" s="178">
        <v>35250</v>
      </c>
      <c r="K171" s="165"/>
      <c r="L171" s="1"/>
      <c r="M171" s="183">
        <v>35250</v>
      </c>
    </row>
    <row r="172" spans="1:13" x14ac:dyDescent="0.25">
      <c r="A172" s="213">
        <v>96</v>
      </c>
      <c r="B172" s="185" t="s">
        <v>354</v>
      </c>
      <c r="C172" s="58" t="s">
        <v>281</v>
      </c>
      <c r="D172" s="70" t="s">
        <v>335</v>
      </c>
      <c r="E172" s="96">
        <v>903</v>
      </c>
      <c r="F172" s="96">
        <v>911</v>
      </c>
      <c r="G172" s="87">
        <v>8</v>
      </c>
      <c r="H172" s="183">
        <v>0</v>
      </c>
      <c r="I172" s="177">
        <v>8600</v>
      </c>
      <c r="J172" s="178">
        <v>8600</v>
      </c>
      <c r="K172" s="177"/>
      <c r="L172" s="1"/>
      <c r="M172" s="183">
        <v>8600</v>
      </c>
    </row>
    <row r="173" spans="1:13" x14ac:dyDescent="0.25">
      <c r="A173" s="85">
        <v>97</v>
      </c>
      <c r="B173" s="185" t="s">
        <v>282</v>
      </c>
      <c r="C173" s="58" t="s">
        <v>283</v>
      </c>
      <c r="D173" s="70" t="s">
        <v>335</v>
      </c>
      <c r="E173" s="96">
        <v>1664</v>
      </c>
      <c r="F173" s="96">
        <v>1669</v>
      </c>
      <c r="G173" s="87">
        <v>5</v>
      </c>
      <c r="H173" s="183">
        <v>5800</v>
      </c>
      <c r="I173" s="177">
        <v>6500</v>
      </c>
      <c r="J173" s="178">
        <v>12300</v>
      </c>
      <c r="K173" s="165"/>
      <c r="L173" s="1"/>
      <c r="M173" s="183">
        <v>12300</v>
      </c>
    </row>
    <row r="174" spans="1:13" x14ac:dyDescent="0.25">
      <c r="A174" s="85">
        <v>98</v>
      </c>
      <c r="B174" s="185" t="s">
        <v>284</v>
      </c>
      <c r="C174" s="58" t="s">
        <v>285</v>
      </c>
      <c r="D174" s="70" t="s">
        <v>335</v>
      </c>
      <c r="E174" s="96">
        <v>2286</v>
      </c>
      <c r="F174" s="96">
        <f ca="1">F174:G185</f>
        <v>0</v>
      </c>
      <c r="G174" s="87">
        <v>19</v>
      </c>
      <c r="H174" s="183">
        <v>16650</v>
      </c>
      <c r="I174" s="177">
        <v>17700</v>
      </c>
      <c r="J174" s="178">
        <v>34350</v>
      </c>
      <c r="K174" s="177">
        <v>34650</v>
      </c>
      <c r="L174" s="1" t="s">
        <v>424</v>
      </c>
      <c r="M174" s="192">
        <v>300</v>
      </c>
    </row>
    <row r="175" spans="1:13" x14ac:dyDescent="0.25">
      <c r="A175" s="85">
        <v>99</v>
      </c>
      <c r="B175" s="185" t="s">
        <v>286</v>
      </c>
      <c r="C175" s="58" t="s">
        <v>287</v>
      </c>
      <c r="D175" s="70" t="s">
        <v>335</v>
      </c>
      <c r="E175" s="96">
        <v>1152</v>
      </c>
      <c r="F175" s="96">
        <v>1153</v>
      </c>
      <c r="G175" s="87">
        <v>1</v>
      </c>
      <c r="H175" s="183">
        <v>17400</v>
      </c>
      <c r="I175" s="177">
        <v>3700</v>
      </c>
      <c r="J175" s="178">
        <v>21100</v>
      </c>
      <c r="K175" s="165"/>
      <c r="L175" s="1"/>
      <c r="M175" s="183">
        <v>21100</v>
      </c>
    </row>
    <row r="176" spans="1:13" x14ac:dyDescent="0.25">
      <c r="A176" s="85">
        <v>100</v>
      </c>
      <c r="B176" s="185" t="s">
        <v>288</v>
      </c>
      <c r="C176" s="58" t="s">
        <v>289</v>
      </c>
      <c r="D176" s="70" t="s">
        <v>335</v>
      </c>
      <c r="E176" s="96">
        <v>1348</v>
      </c>
      <c r="F176" s="96">
        <v>7</v>
      </c>
      <c r="G176" s="87">
        <v>7</v>
      </c>
      <c r="H176" s="166">
        <v>0</v>
      </c>
      <c r="I176" s="177">
        <v>7900</v>
      </c>
      <c r="J176" s="178">
        <v>7900</v>
      </c>
      <c r="K176" s="177">
        <v>7900</v>
      </c>
      <c r="L176" s="1" t="s">
        <v>435</v>
      </c>
      <c r="M176" s="183">
        <v>0</v>
      </c>
    </row>
    <row r="177" spans="1:13" x14ac:dyDescent="0.25">
      <c r="A177" s="213">
        <v>101</v>
      </c>
      <c r="B177" s="179" t="s">
        <v>290</v>
      </c>
      <c r="C177" s="180" t="s">
        <v>291</v>
      </c>
      <c r="D177" s="181" t="s">
        <v>335</v>
      </c>
      <c r="E177" s="182">
        <v>1398</v>
      </c>
      <c r="F177" s="182">
        <v>1398</v>
      </c>
      <c r="G177" s="87">
        <v>0</v>
      </c>
      <c r="H177" s="183">
        <v>0</v>
      </c>
      <c r="I177" s="177">
        <v>3000</v>
      </c>
      <c r="J177" s="178">
        <v>3000</v>
      </c>
      <c r="K177" s="165"/>
      <c r="L177" s="1"/>
      <c r="M177" s="183">
        <v>3000</v>
      </c>
    </row>
    <row r="178" spans="1:13" x14ac:dyDescent="0.25">
      <c r="A178" s="85">
        <v>102</v>
      </c>
      <c r="B178" s="179" t="s">
        <v>292</v>
      </c>
      <c r="C178" s="180" t="s">
        <v>293</v>
      </c>
      <c r="D178" s="181" t="s">
        <v>335</v>
      </c>
      <c r="E178" s="182">
        <v>1782</v>
      </c>
      <c r="F178" s="182">
        <v>1782</v>
      </c>
      <c r="G178" s="87">
        <v>0</v>
      </c>
      <c r="H178" s="183">
        <v>0</v>
      </c>
      <c r="I178" s="177">
        <v>3000</v>
      </c>
      <c r="J178" s="178">
        <v>3000</v>
      </c>
      <c r="K178" s="165"/>
      <c r="L178" s="1"/>
      <c r="M178" s="183">
        <v>3000</v>
      </c>
    </row>
    <row r="179" spans="1:13" x14ac:dyDescent="0.25">
      <c r="A179" s="85">
        <v>103</v>
      </c>
      <c r="B179" s="185" t="s">
        <v>294</v>
      </c>
      <c r="C179" s="58" t="s">
        <v>295</v>
      </c>
      <c r="D179" s="70" t="s">
        <v>335</v>
      </c>
      <c r="E179" s="96">
        <v>965</v>
      </c>
      <c r="F179" s="96">
        <v>976</v>
      </c>
      <c r="G179" s="87">
        <v>11</v>
      </c>
      <c r="H179" s="183">
        <v>0</v>
      </c>
      <c r="I179" s="177">
        <v>10700</v>
      </c>
      <c r="J179" s="177">
        <v>10700</v>
      </c>
      <c r="K179" s="165">
        <v>10700</v>
      </c>
      <c r="L179" s="1" t="s">
        <v>434</v>
      </c>
      <c r="M179" s="166">
        <v>0</v>
      </c>
    </row>
    <row r="180" spans="1:13" x14ac:dyDescent="0.25">
      <c r="A180" s="85">
        <v>104</v>
      </c>
      <c r="B180" s="185" t="s">
        <v>296</v>
      </c>
      <c r="C180" s="58" t="s">
        <v>297</v>
      </c>
      <c r="D180" s="70" t="s">
        <v>335</v>
      </c>
      <c r="E180" s="96">
        <v>827</v>
      </c>
      <c r="F180" s="96">
        <v>835</v>
      </c>
      <c r="G180" s="87">
        <v>8</v>
      </c>
      <c r="H180" s="183">
        <v>26670</v>
      </c>
      <c r="I180" s="177">
        <v>8600</v>
      </c>
      <c r="J180" s="178">
        <v>35270</v>
      </c>
      <c r="K180" s="177">
        <v>35270</v>
      </c>
      <c r="L180" s="1" t="s">
        <v>434</v>
      </c>
      <c r="M180" s="183">
        <v>26670</v>
      </c>
    </row>
    <row r="181" spans="1:13" x14ac:dyDescent="0.25">
      <c r="A181" s="85">
        <v>105</v>
      </c>
      <c r="B181" s="185" t="s">
        <v>366</v>
      </c>
      <c r="C181" s="58" t="s">
        <v>299</v>
      </c>
      <c r="D181" s="70" t="s">
        <v>335</v>
      </c>
      <c r="E181" s="96">
        <v>2775</v>
      </c>
      <c r="F181" s="96">
        <v>2786</v>
      </c>
      <c r="G181" s="87">
        <v>11</v>
      </c>
      <c r="H181" s="183">
        <v>26670</v>
      </c>
      <c r="I181" s="177">
        <v>10700</v>
      </c>
      <c r="J181" s="178">
        <v>37370</v>
      </c>
      <c r="K181" s="177">
        <v>37370</v>
      </c>
      <c r="L181" s="1" t="s">
        <v>434</v>
      </c>
      <c r="M181" s="183">
        <v>26670</v>
      </c>
    </row>
    <row r="182" spans="1:13" x14ac:dyDescent="0.25">
      <c r="A182" s="85">
        <v>106</v>
      </c>
      <c r="B182" s="185" t="s">
        <v>300</v>
      </c>
      <c r="C182" s="58" t="s">
        <v>301</v>
      </c>
      <c r="D182" s="70" t="s">
        <v>335</v>
      </c>
      <c r="E182" s="96">
        <v>4993</v>
      </c>
      <c r="F182" s="96">
        <v>4993</v>
      </c>
      <c r="G182" s="87">
        <v>0</v>
      </c>
      <c r="H182" s="183">
        <v>24100</v>
      </c>
      <c r="I182" s="177">
        <v>3000</v>
      </c>
      <c r="J182" s="178">
        <v>27100</v>
      </c>
      <c r="K182" s="177">
        <v>27000</v>
      </c>
      <c r="L182" s="1" t="s">
        <v>424</v>
      </c>
      <c r="M182" s="183">
        <v>100</v>
      </c>
    </row>
    <row r="183" spans="1:13" x14ac:dyDescent="0.25">
      <c r="A183" s="85">
        <v>107</v>
      </c>
      <c r="B183" s="185" t="s">
        <v>302</v>
      </c>
      <c r="C183" s="58" t="s">
        <v>303</v>
      </c>
      <c r="D183" s="70" t="s">
        <v>335</v>
      </c>
      <c r="E183" s="96">
        <v>632</v>
      </c>
      <c r="F183" s="96">
        <v>639</v>
      </c>
      <c r="G183" s="87">
        <v>7</v>
      </c>
      <c r="H183" s="166">
        <v>0</v>
      </c>
      <c r="I183" s="177">
        <v>7900</v>
      </c>
      <c r="J183" s="178">
        <v>7900</v>
      </c>
      <c r="K183" s="177">
        <v>7900</v>
      </c>
      <c r="L183" s="1" t="s">
        <v>434</v>
      </c>
      <c r="M183" s="183">
        <v>0</v>
      </c>
    </row>
    <row r="184" spans="1:13" x14ac:dyDescent="0.25">
      <c r="A184" s="85">
        <v>108</v>
      </c>
      <c r="B184" s="185" t="s">
        <v>304</v>
      </c>
      <c r="C184" s="58" t="s">
        <v>305</v>
      </c>
      <c r="D184" s="70" t="s">
        <v>335</v>
      </c>
      <c r="E184" s="96">
        <v>3492</v>
      </c>
      <c r="F184" s="96">
        <v>3500</v>
      </c>
      <c r="G184" s="87">
        <v>8</v>
      </c>
      <c r="H184" s="183">
        <v>22950</v>
      </c>
      <c r="I184" s="177">
        <v>8600</v>
      </c>
      <c r="J184" s="178">
        <v>31550</v>
      </c>
      <c r="K184" s="165"/>
      <c r="L184" s="1"/>
      <c r="M184" s="183">
        <v>31550</v>
      </c>
    </row>
    <row r="185" spans="1:13" x14ac:dyDescent="0.25">
      <c r="A185" s="85">
        <v>109</v>
      </c>
      <c r="B185" s="185" t="s">
        <v>306</v>
      </c>
      <c r="C185" s="58" t="s">
        <v>307</v>
      </c>
      <c r="D185" s="70" t="s">
        <v>335</v>
      </c>
      <c r="E185" s="96">
        <v>2950</v>
      </c>
      <c r="F185" s="96">
        <v>2960</v>
      </c>
      <c r="G185" s="87">
        <v>10</v>
      </c>
      <c r="H185" s="183">
        <v>0</v>
      </c>
      <c r="I185" s="177">
        <v>10000</v>
      </c>
      <c r="J185" s="178">
        <v>17590</v>
      </c>
      <c r="K185" s="177">
        <v>17590</v>
      </c>
      <c r="L185" s="1" t="s">
        <v>435</v>
      </c>
      <c r="M185" s="183">
        <v>7590</v>
      </c>
    </row>
    <row r="186" spans="1:13" x14ac:dyDescent="0.25">
      <c r="A186" s="85">
        <v>110</v>
      </c>
      <c r="B186" s="179" t="s">
        <v>308</v>
      </c>
      <c r="C186" s="180" t="s">
        <v>309</v>
      </c>
      <c r="D186" s="181" t="s">
        <v>335</v>
      </c>
      <c r="E186" s="182">
        <v>51</v>
      </c>
      <c r="F186" s="182">
        <v>51</v>
      </c>
      <c r="G186" s="87">
        <v>0</v>
      </c>
      <c r="H186" s="183">
        <v>3000</v>
      </c>
      <c r="I186" s="177">
        <v>3000</v>
      </c>
      <c r="J186" s="178">
        <v>6000</v>
      </c>
      <c r="K186" s="177">
        <v>6000</v>
      </c>
      <c r="L186" s="1" t="s">
        <v>424</v>
      </c>
      <c r="M186" s="183">
        <v>0</v>
      </c>
    </row>
    <row r="187" spans="1:13" x14ac:dyDescent="0.25">
      <c r="A187" s="85">
        <v>111</v>
      </c>
      <c r="B187" s="185" t="s">
        <v>432</v>
      </c>
      <c r="C187" s="58" t="s">
        <v>311</v>
      </c>
      <c r="D187" s="70" t="s">
        <v>334</v>
      </c>
      <c r="E187" s="96">
        <v>2266</v>
      </c>
      <c r="F187" s="96">
        <v>2266</v>
      </c>
      <c r="G187" s="87">
        <v>0</v>
      </c>
      <c r="H187" s="183">
        <v>0</v>
      </c>
      <c r="I187" s="177">
        <v>3000</v>
      </c>
      <c r="J187" s="178">
        <v>3000</v>
      </c>
      <c r="K187" s="177">
        <v>3000</v>
      </c>
      <c r="L187" s="1" t="s">
        <v>435</v>
      </c>
      <c r="M187" s="183">
        <v>0</v>
      </c>
    </row>
    <row r="188" spans="1:13" x14ac:dyDescent="0.25">
      <c r="A188" s="85">
        <v>112</v>
      </c>
      <c r="B188" s="185" t="s">
        <v>312</v>
      </c>
      <c r="C188" s="58" t="s">
        <v>313</v>
      </c>
      <c r="D188" s="70" t="s">
        <v>335</v>
      </c>
      <c r="E188" s="96">
        <v>2543</v>
      </c>
      <c r="F188" s="96">
        <v>2562</v>
      </c>
      <c r="G188" s="87">
        <v>19</v>
      </c>
      <c r="H188" s="166">
        <v>0</v>
      </c>
      <c r="I188" s="177">
        <v>17700</v>
      </c>
      <c r="J188" s="178">
        <v>17700</v>
      </c>
      <c r="K188" s="177">
        <v>17700</v>
      </c>
      <c r="L188" s="1" t="s">
        <v>435</v>
      </c>
      <c r="M188" s="183">
        <v>0</v>
      </c>
    </row>
    <row r="189" spans="1:13" x14ac:dyDescent="0.25">
      <c r="A189" s="85">
        <v>113</v>
      </c>
      <c r="B189" s="185" t="s">
        <v>314</v>
      </c>
      <c r="C189" s="58" t="s">
        <v>315</v>
      </c>
      <c r="D189" s="70" t="s">
        <v>335</v>
      </c>
      <c r="E189" s="96">
        <v>1315</v>
      </c>
      <c r="F189" s="96">
        <v>1315</v>
      </c>
      <c r="G189" s="87">
        <v>0</v>
      </c>
      <c r="H189" s="183">
        <v>6000</v>
      </c>
      <c r="I189" s="177">
        <v>3000</v>
      </c>
      <c r="J189" s="178">
        <v>9000</v>
      </c>
      <c r="K189" s="165"/>
      <c r="L189" s="1"/>
      <c r="M189" s="183">
        <v>9000</v>
      </c>
    </row>
    <row r="190" spans="1:13" x14ac:dyDescent="0.25">
      <c r="A190" s="85">
        <v>114</v>
      </c>
      <c r="B190" s="185" t="s">
        <v>316</v>
      </c>
      <c r="C190" s="58" t="s">
        <v>317</v>
      </c>
      <c r="D190" s="70" t="s">
        <v>335</v>
      </c>
      <c r="E190" s="96">
        <v>4043</v>
      </c>
      <c r="F190" s="96">
        <v>4043</v>
      </c>
      <c r="G190" s="87">
        <v>0</v>
      </c>
      <c r="H190" s="183">
        <v>6700</v>
      </c>
      <c r="I190" s="177">
        <v>3000</v>
      </c>
      <c r="J190" s="178">
        <v>9700</v>
      </c>
      <c r="K190" s="165"/>
      <c r="L190" s="1"/>
      <c r="M190" s="183">
        <v>9700</v>
      </c>
    </row>
    <row r="191" spans="1:13" x14ac:dyDescent="0.25">
      <c r="A191" s="85">
        <v>115</v>
      </c>
      <c r="B191" s="185" t="s">
        <v>318</v>
      </c>
      <c r="C191" s="58" t="s">
        <v>319</v>
      </c>
      <c r="D191" s="70" t="s">
        <v>335</v>
      </c>
      <c r="E191" s="96">
        <v>1058</v>
      </c>
      <c r="F191" s="96">
        <v>1063</v>
      </c>
      <c r="G191" s="87">
        <v>5</v>
      </c>
      <c r="H191" s="183">
        <v>5800</v>
      </c>
      <c r="I191" s="177">
        <v>6500</v>
      </c>
      <c r="J191" s="178">
        <v>12300</v>
      </c>
      <c r="K191" s="165"/>
      <c r="L191" s="1"/>
      <c r="M191" s="183">
        <v>12300</v>
      </c>
    </row>
    <row r="192" spans="1:13" x14ac:dyDescent="0.25">
      <c r="A192" s="85">
        <v>116</v>
      </c>
      <c r="B192" s="185" t="s">
        <v>320</v>
      </c>
      <c r="C192" s="58" t="s">
        <v>321</v>
      </c>
      <c r="D192" s="70" t="s">
        <v>335</v>
      </c>
      <c r="E192" s="96">
        <v>1269</v>
      </c>
      <c r="F192" s="96">
        <v>1276</v>
      </c>
      <c r="G192" s="87">
        <v>7</v>
      </c>
      <c r="H192" s="183">
        <v>11800</v>
      </c>
      <c r="I192" s="177">
        <v>7900</v>
      </c>
      <c r="J192" s="178">
        <v>19700</v>
      </c>
      <c r="K192" s="165"/>
      <c r="L192" s="1"/>
      <c r="M192" s="183">
        <v>19700</v>
      </c>
    </row>
    <row r="193" spans="1:13" x14ac:dyDescent="0.25">
      <c r="A193" s="85">
        <v>117</v>
      </c>
      <c r="B193" s="185" t="s">
        <v>362</v>
      </c>
      <c r="C193" s="58" t="s">
        <v>323</v>
      </c>
      <c r="D193" s="70" t="s">
        <v>335</v>
      </c>
      <c r="E193" s="96">
        <v>2840</v>
      </c>
      <c r="F193" s="96">
        <v>2857</v>
      </c>
      <c r="G193" s="87">
        <v>17</v>
      </c>
      <c r="H193" s="183">
        <v>67350</v>
      </c>
      <c r="I193" s="177">
        <v>15600</v>
      </c>
      <c r="J193" s="178">
        <v>82950</v>
      </c>
      <c r="K193" s="187">
        <v>30000</v>
      </c>
      <c r="L193" s="1" t="s">
        <v>434</v>
      </c>
      <c r="M193" s="232">
        <v>52950</v>
      </c>
    </row>
    <row r="194" spans="1:13" x14ac:dyDescent="0.25">
      <c r="A194" s="85">
        <v>118</v>
      </c>
      <c r="B194" s="185" t="s">
        <v>324</v>
      </c>
      <c r="C194" s="58" t="s">
        <v>325</v>
      </c>
      <c r="D194" s="70" t="s">
        <v>335</v>
      </c>
      <c r="E194" s="96">
        <v>424</v>
      </c>
      <c r="F194" s="96">
        <v>433</v>
      </c>
      <c r="G194" s="87">
        <v>9</v>
      </c>
      <c r="H194" s="183">
        <v>17200</v>
      </c>
      <c r="I194" s="177">
        <v>9300</v>
      </c>
      <c r="J194" s="178">
        <v>26500</v>
      </c>
      <c r="K194" s="177">
        <v>26500</v>
      </c>
      <c r="L194" s="1" t="s">
        <v>435</v>
      </c>
      <c r="M194" s="183">
        <v>0</v>
      </c>
    </row>
    <row r="195" spans="1:13" x14ac:dyDescent="0.25">
      <c r="A195" s="85">
        <v>119</v>
      </c>
      <c r="B195" s="185" t="s">
        <v>326</v>
      </c>
      <c r="C195" s="58" t="s">
        <v>327</v>
      </c>
      <c r="D195" s="70" t="s">
        <v>335</v>
      </c>
      <c r="E195" s="96">
        <v>2946</v>
      </c>
      <c r="F195" s="96">
        <v>2949</v>
      </c>
      <c r="G195" s="87">
        <v>3</v>
      </c>
      <c r="H195" s="183">
        <v>4400</v>
      </c>
      <c r="I195" s="177">
        <v>5100</v>
      </c>
      <c r="J195" s="178">
        <v>9500</v>
      </c>
      <c r="K195" s="177">
        <v>9500</v>
      </c>
      <c r="L195" s="1" t="s">
        <v>424</v>
      </c>
      <c r="M195" s="183">
        <v>0</v>
      </c>
    </row>
    <row r="196" spans="1:13" x14ac:dyDescent="0.25">
      <c r="A196" s="85">
        <v>120</v>
      </c>
      <c r="B196" s="185" t="s">
        <v>328</v>
      </c>
      <c r="C196" s="58" t="s">
        <v>329</v>
      </c>
      <c r="D196" s="70" t="s">
        <v>335</v>
      </c>
      <c r="E196" s="96">
        <v>2651</v>
      </c>
      <c r="F196" s="96">
        <v>2655</v>
      </c>
      <c r="G196" s="87">
        <v>4</v>
      </c>
      <c r="H196" s="166">
        <v>0</v>
      </c>
      <c r="I196" s="177">
        <v>5800</v>
      </c>
      <c r="J196" s="178">
        <v>5800</v>
      </c>
      <c r="K196" s="177"/>
      <c r="L196" s="1"/>
      <c r="M196" s="183">
        <v>5800</v>
      </c>
    </row>
    <row r="197" spans="1:13" x14ac:dyDescent="0.25">
      <c r="A197" s="85">
        <v>121</v>
      </c>
      <c r="B197" s="185" t="s">
        <v>363</v>
      </c>
      <c r="C197" s="58" t="s">
        <v>331</v>
      </c>
      <c r="D197" s="70" t="s">
        <v>335</v>
      </c>
      <c r="E197" s="96">
        <v>1210</v>
      </c>
      <c r="F197" s="96">
        <v>1213</v>
      </c>
      <c r="G197" s="87">
        <v>3</v>
      </c>
      <c r="H197" s="183">
        <v>6500</v>
      </c>
      <c r="I197" s="177">
        <v>5100</v>
      </c>
      <c r="J197" s="178">
        <v>11600</v>
      </c>
      <c r="K197" s="165"/>
      <c r="L197" s="1"/>
      <c r="M197" s="183">
        <v>11600</v>
      </c>
    </row>
    <row r="198" spans="1:13" x14ac:dyDescent="0.25">
      <c r="A198" s="85">
        <f>A197+1</f>
        <v>122</v>
      </c>
      <c r="B198" s="185" t="s">
        <v>332</v>
      </c>
      <c r="C198" s="58" t="s">
        <v>333</v>
      </c>
      <c r="D198" s="70" t="s">
        <v>335</v>
      </c>
      <c r="E198" s="96">
        <v>916</v>
      </c>
      <c r="F198" s="96">
        <v>933</v>
      </c>
      <c r="G198" s="87">
        <v>17</v>
      </c>
      <c r="H198" s="183">
        <v>22950</v>
      </c>
      <c r="I198" s="177">
        <v>15600</v>
      </c>
      <c r="J198" s="178">
        <v>38550</v>
      </c>
      <c r="K198" s="177"/>
      <c r="L198" s="1"/>
      <c r="M198" s="183">
        <v>38550</v>
      </c>
    </row>
    <row r="199" spans="1:13" x14ac:dyDescent="0.25">
      <c r="A199" s="85">
        <v>123</v>
      </c>
      <c r="B199" s="1" t="s">
        <v>451</v>
      </c>
      <c r="C199" s="1" t="s">
        <v>450</v>
      </c>
      <c r="D199" s="1" t="s">
        <v>335</v>
      </c>
      <c r="E199" s="1"/>
      <c r="F199" s="85"/>
      <c r="G199" s="1"/>
      <c r="H199" s="1"/>
      <c r="I199" s="1"/>
      <c r="J199" s="1"/>
      <c r="K199" s="1"/>
      <c r="L199" s="1"/>
      <c r="M199" s="1"/>
    </row>
  </sheetData>
  <mergeCells count="1">
    <mergeCell ref="A1:C1"/>
  </mergeCells>
  <pageMargins left="0.7" right="0.7" top="0.75" bottom="0.75" header="0.3" footer="0.3"/>
  <pageSetup paperSize="9" orientation="portrait" horizontalDpi="0" verticalDpi="0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FD200"/>
  <sheetViews>
    <sheetView topLeftCell="A142" workbookViewId="0">
      <selection activeCell="M86" sqref="M86"/>
    </sheetView>
  </sheetViews>
  <sheetFormatPr baseColWidth="10" defaultRowHeight="15" x14ac:dyDescent="0.25"/>
  <cols>
    <col min="1" max="1" width="4.28515625" customWidth="1"/>
    <col min="2" max="2" width="43" customWidth="1"/>
    <col min="4" max="4" width="12" bestFit="1" customWidth="1"/>
    <col min="6" max="6" width="11.42578125" style="239"/>
    <col min="7" max="7" width="6.5703125" style="239" customWidth="1"/>
    <col min="11" max="11" width="11.42578125" style="269"/>
    <col min="12" max="12" width="15.5703125" customWidth="1"/>
    <col min="13" max="13" width="11.42578125" style="269"/>
  </cols>
  <sheetData>
    <row r="1" spans="1:13" x14ac:dyDescent="0.25">
      <c r="A1" s="378" t="s">
        <v>8</v>
      </c>
      <c r="B1" s="378"/>
      <c r="C1" s="378"/>
      <c r="D1" s="132"/>
      <c r="E1" s="131"/>
      <c r="F1" s="236"/>
      <c r="G1" s="236"/>
      <c r="H1" s="131"/>
      <c r="I1" s="131"/>
      <c r="J1" s="133"/>
    </row>
    <row r="2" spans="1:13" x14ac:dyDescent="0.25">
      <c r="A2" s="91" t="s">
        <v>3</v>
      </c>
      <c r="B2" s="128" t="s">
        <v>0</v>
      </c>
      <c r="C2" s="128" t="s">
        <v>1</v>
      </c>
      <c r="D2" s="129" t="s">
        <v>2</v>
      </c>
      <c r="E2" s="129" t="s">
        <v>336</v>
      </c>
      <c r="F2" s="235" t="s">
        <v>337</v>
      </c>
      <c r="G2" s="235" t="s">
        <v>10</v>
      </c>
      <c r="H2" s="129" t="s">
        <v>356</v>
      </c>
      <c r="I2" s="129" t="s">
        <v>357</v>
      </c>
      <c r="J2" s="128" t="s">
        <v>11</v>
      </c>
      <c r="K2" s="270" t="s">
        <v>12</v>
      </c>
      <c r="L2" s="129" t="s">
        <v>355</v>
      </c>
      <c r="M2" s="308" t="s">
        <v>13</v>
      </c>
    </row>
    <row r="3" spans="1:13" x14ac:dyDescent="0.25">
      <c r="A3" s="159">
        <v>1</v>
      </c>
      <c r="B3" s="160" t="s">
        <v>14</v>
      </c>
      <c r="C3" s="161" t="s">
        <v>100</v>
      </c>
      <c r="D3" s="154" t="s">
        <v>5</v>
      </c>
      <c r="E3" s="228">
        <v>1592</v>
      </c>
      <c r="F3" s="246">
        <v>1592</v>
      </c>
      <c r="G3" s="237">
        <v>0</v>
      </c>
      <c r="H3" s="176">
        <v>1500</v>
      </c>
      <c r="I3" s="164">
        <v>1500</v>
      </c>
      <c r="J3" s="176">
        <v>3000</v>
      </c>
      <c r="K3" s="271"/>
      <c r="L3" s="160"/>
      <c r="M3" s="271">
        <v>3000</v>
      </c>
    </row>
    <row r="4" spans="1:13" x14ac:dyDescent="0.25">
      <c r="A4" s="85">
        <f>A3+1</f>
        <v>2</v>
      </c>
      <c r="B4" s="1" t="s">
        <v>15</v>
      </c>
      <c r="C4" s="4"/>
      <c r="D4" s="70" t="s">
        <v>5</v>
      </c>
      <c r="E4" s="225">
        <v>1</v>
      </c>
      <c r="F4" s="233">
        <v>1</v>
      </c>
      <c r="G4" s="238">
        <v>0</v>
      </c>
      <c r="H4" s="183">
        <v>0</v>
      </c>
      <c r="I4" s="177">
        <v>3000</v>
      </c>
      <c r="J4" s="178">
        <v>3000</v>
      </c>
      <c r="K4" s="266"/>
      <c r="L4" s="1"/>
      <c r="M4" s="276">
        <v>3000</v>
      </c>
    </row>
    <row r="5" spans="1:13" x14ac:dyDescent="0.25">
      <c r="A5" s="159">
        <f t="shared" ref="A5:A50" si="0">A4+1</f>
        <v>3</v>
      </c>
      <c r="B5" s="206" t="s">
        <v>16</v>
      </c>
      <c r="C5" s="207" t="s">
        <v>101</v>
      </c>
      <c r="D5" s="208" t="s">
        <v>5</v>
      </c>
      <c r="E5" s="226">
        <v>2888</v>
      </c>
      <c r="F5" s="264">
        <v>2307</v>
      </c>
      <c r="G5" s="237">
        <v>19</v>
      </c>
      <c r="H5" s="176">
        <v>0</v>
      </c>
      <c r="I5" s="164">
        <v>10950</v>
      </c>
      <c r="J5" s="176">
        <v>10950</v>
      </c>
      <c r="K5" s="271">
        <v>10950</v>
      </c>
      <c r="L5" s="160" t="s">
        <v>399</v>
      </c>
      <c r="M5" s="271">
        <v>0</v>
      </c>
    </row>
    <row r="6" spans="1:13" x14ac:dyDescent="0.25">
      <c r="A6" s="85">
        <f t="shared" si="0"/>
        <v>4</v>
      </c>
      <c r="B6" s="179" t="s">
        <v>17</v>
      </c>
      <c r="C6" s="210" t="s">
        <v>373</v>
      </c>
      <c r="D6" s="181" t="s">
        <v>5</v>
      </c>
      <c r="E6" s="227">
        <v>2992</v>
      </c>
      <c r="F6" s="233">
        <v>2992</v>
      </c>
      <c r="G6" s="238">
        <v>0</v>
      </c>
      <c r="H6" s="183">
        <v>13500</v>
      </c>
      <c r="I6" s="177">
        <v>3000</v>
      </c>
      <c r="J6" s="178">
        <v>16500</v>
      </c>
      <c r="K6" s="266">
        <v>16500</v>
      </c>
      <c r="L6" s="1" t="s">
        <v>435</v>
      </c>
      <c r="M6" s="276">
        <v>0</v>
      </c>
    </row>
    <row r="7" spans="1:13" x14ac:dyDescent="0.25">
      <c r="A7" s="85">
        <f t="shared" si="0"/>
        <v>5</v>
      </c>
      <c r="B7" s="1" t="s">
        <v>18</v>
      </c>
      <c r="C7" s="4" t="s">
        <v>377</v>
      </c>
      <c r="D7" s="70" t="s">
        <v>5</v>
      </c>
      <c r="E7" s="225">
        <v>2066</v>
      </c>
      <c r="F7" s="233">
        <v>2084</v>
      </c>
      <c r="G7" s="238">
        <v>18</v>
      </c>
      <c r="H7" s="183">
        <v>0</v>
      </c>
      <c r="I7" s="177">
        <v>16650</v>
      </c>
      <c r="J7" s="178">
        <v>16650</v>
      </c>
      <c r="K7" s="266">
        <v>16650</v>
      </c>
      <c r="L7" s="1" t="s">
        <v>435</v>
      </c>
      <c r="M7" s="276">
        <v>0</v>
      </c>
    </row>
    <row r="8" spans="1:13" x14ac:dyDescent="0.25">
      <c r="A8" s="85">
        <f t="shared" si="0"/>
        <v>6</v>
      </c>
      <c r="B8" s="1" t="s">
        <v>19</v>
      </c>
      <c r="C8" s="4"/>
      <c r="D8" s="70" t="s">
        <v>5</v>
      </c>
      <c r="E8" s="225">
        <v>375</v>
      </c>
      <c r="F8" s="233">
        <v>375</v>
      </c>
      <c r="G8" s="238">
        <v>0</v>
      </c>
      <c r="H8" s="183">
        <v>7900</v>
      </c>
      <c r="I8" s="177">
        <v>3000</v>
      </c>
      <c r="J8" s="178">
        <v>10900</v>
      </c>
      <c r="K8" s="266"/>
      <c r="L8" s="1"/>
      <c r="M8" s="276">
        <v>10900</v>
      </c>
    </row>
    <row r="9" spans="1:13" x14ac:dyDescent="0.25">
      <c r="A9" s="85">
        <f t="shared" si="0"/>
        <v>7</v>
      </c>
      <c r="B9" s="1" t="s">
        <v>20</v>
      </c>
      <c r="C9" s="4" t="s">
        <v>427</v>
      </c>
      <c r="D9" s="70" t="s">
        <v>5</v>
      </c>
      <c r="E9" s="225">
        <v>5784</v>
      </c>
      <c r="F9" s="233">
        <v>5815</v>
      </c>
      <c r="G9" s="238">
        <v>31</v>
      </c>
      <c r="H9" s="183">
        <v>0</v>
      </c>
      <c r="I9" s="177">
        <v>30650</v>
      </c>
      <c r="J9" s="178">
        <v>30650</v>
      </c>
      <c r="K9" s="266">
        <v>30650</v>
      </c>
      <c r="L9" s="1" t="s">
        <v>435</v>
      </c>
      <c r="M9" s="276">
        <v>0</v>
      </c>
    </row>
    <row r="10" spans="1:13" x14ac:dyDescent="0.25">
      <c r="A10" s="85">
        <f t="shared" si="0"/>
        <v>8</v>
      </c>
      <c r="B10" s="1" t="s">
        <v>21</v>
      </c>
      <c r="C10" s="4" t="s">
        <v>378</v>
      </c>
      <c r="D10" s="70" t="s">
        <v>5</v>
      </c>
      <c r="E10" s="225">
        <v>1755</v>
      </c>
      <c r="F10" s="233">
        <v>1769</v>
      </c>
      <c r="G10" s="238">
        <v>14</v>
      </c>
      <c r="H10" s="183">
        <v>23500</v>
      </c>
      <c r="I10" s="177">
        <v>12800</v>
      </c>
      <c r="J10" s="177">
        <v>36300</v>
      </c>
      <c r="K10" s="266">
        <v>36300</v>
      </c>
      <c r="L10" s="1" t="s">
        <v>435</v>
      </c>
      <c r="M10" s="276">
        <v>0</v>
      </c>
    </row>
    <row r="11" spans="1:13" x14ac:dyDescent="0.25">
      <c r="A11" s="85">
        <f t="shared" si="0"/>
        <v>9</v>
      </c>
      <c r="B11" s="1" t="s">
        <v>22</v>
      </c>
      <c r="C11" s="4" t="s">
        <v>379</v>
      </c>
      <c r="D11" s="70" t="s">
        <v>5</v>
      </c>
      <c r="E11" s="225">
        <v>471</v>
      </c>
      <c r="F11" s="233">
        <v>480</v>
      </c>
      <c r="G11" s="238">
        <v>9</v>
      </c>
      <c r="H11" s="183">
        <v>9300</v>
      </c>
      <c r="I11" s="177">
        <v>9300</v>
      </c>
      <c r="J11" s="177">
        <v>31940</v>
      </c>
      <c r="K11" s="266">
        <v>31940</v>
      </c>
      <c r="L11" s="1" t="s">
        <v>435</v>
      </c>
      <c r="M11" s="276">
        <v>13340</v>
      </c>
    </row>
    <row r="12" spans="1:13" x14ac:dyDescent="0.25">
      <c r="A12" s="85">
        <f t="shared" si="0"/>
        <v>10</v>
      </c>
      <c r="B12" s="1" t="s">
        <v>380</v>
      </c>
      <c r="C12" s="4" t="s">
        <v>386</v>
      </c>
      <c r="D12" s="70" t="s">
        <v>5</v>
      </c>
      <c r="E12" s="225">
        <v>9665</v>
      </c>
      <c r="F12" s="233">
        <v>9757</v>
      </c>
      <c r="G12" s="238">
        <v>92</v>
      </c>
      <c r="H12" s="183">
        <v>0</v>
      </c>
      <c r="I12" s="177">
        <v>116050</v>
      </c>
      <c r="J12" s="178">
        <v>116050</v>
      </c>
      <c r="K12" s="266"/>
      <c r="L12" s="1"/>
      <c r="M12" s="276">
        <v>116050</v>
      </c>
    </row>
    <row r="13" spans="1:13" x14ac:dyDescent="0.25">
      <c r="A13" s="85">
        <f t="shared" si="0"/>
        <v>11</v>
      </c>
      <c r="B13" s="179" t="s">
        <v>24</v>
      </c>
      <c r="C13" s="210" t="s">
        <v>382</v>
      </c>
      <c r="D13" s="181" t="s">
        <v>5</v>
      </c>
      <c r="E13" s="227">
        <v>3314</v>
      </c>
      <c r="F13" s="265">
        <v>3375</v>
      </c>
      <c r="G13" s="238">
        <v>61</v>
      </c>
      <c r="H13" s="183">
        <v>7900</v>
      </c>
      <c r="I13" s="177">
        <v>15600</v>
      </c>
      <c r="J13" s="178">
        <v>23500</v>
      </c>
      <c r="K13" s="266">
        <v>27500</v>
      </c>
      <c r="L13" s="1" t="s">
        <v>435</v>
      </c>
      <c r="M13" s="309">
        <v>4000</v>
      </c>
    </row>
    <row r="14" spans="1:13" x14ac:dyDescent="0.25">
      <c r="A14" s="85">
        <f t="shared" si="0"/>
        <v>12</v>
      </c>
      <c r="B14" s="1" t="s">
        <v>25</v>
      </c>
      <c r="C14" s="4" t="s">
        <v>383</v>
      </c>
      <c r="D14" s="70" t="s">
        <v>5</v>
      </c>
      <c r="E14" s="225">
        <v>1069</v>
      </c>
      <c r="F14" s="233">
        <v>1072</v>
      </c>
      <c r="G14" s="238">
        <v>3</v>
      </c>
      <c r="H14" s="183">
        <v>20000</v>
      </c>
      <c r="I14" s="177">
        <v>5100</v>
      </c>
      <c r="J14" s="178">
        <v>25100</v>
      </c>
      <c r="K14" s="266">
        <v>25100</v>
      </c>
      <c r="L14" s="1" t="s">
        <v>435</v>
      </c>
      <c r="M14" s="276">
        <v>0</v>
      </c>
    </row>
    <row r="15" spans="1:13" x14ac:dyDescent="0.25">
      <c r="A15" s="85">
        <f t="shared" si="0"/>
        <v>13</v>
      </c>
      <c r="B15" s="1" t="s">
        <v>26</v>
      </c>
      <c r="C15" s="4" t="s">
        <v>384</v>
      </c>
      <c r="D15" s="70" t="s">
        <v>5</v>
      </c>
      <c r="E15" s="225">
        <v>2332</v>
      </c>
      <c r="F15" s="233">
        <v>1337</v>
      </c>
      <c r="G15" s="238">
        <v>5</v>
      </c>
      <c r="H15" s="183">
        <v>0</v>
      </c>
      <c r="I15" s="177">
        <v>6500</v>
      </c>
      <c r="J15" s="178">
        <v>6500</v>
      </c>
      <c r="K15" s="266">
        <v>6500</v>
      </c>
      <c r="L15" s="1" t="s">
        <v>399</v>
      </c>
      <c r="M15" s="276">
        <v>0</v>
      </c>
    </row>
    <row r="16" spans="1:13" x14ac:dyDescent="0.25">
      <c r="A16" s="85">
        <f t="shared" si="0"/>
        <v>14</v>
      </c>
      <c r="B16" s="179" t="s">
        <v>381</v>
      </c>
      <c r="C16" s="210" t="s">
        <v>386</v>
      </c>
      <c r="D16" s="181" t="s">
        <v>5</v>
      </c>
      <c r="E16" s="227">
        <v>2257</v>
      </c>
      <c r="F16" s="265">
        <v>2250</v>
      </c>
      <c r="G16" s="291">
        <v>3</v>
      </c>
      <c r="H16" s="183"/>
      <c r="I16" s="177">
        <v>5100</v>
      </c>
      <c r="J16" s="178">
        <v>5100</v>
      </c>
      <c r="K16" s="266"/>
      <c r="L16" s="1"/>
      <c r="M16" s="276">
        <v>5100</v>
      </c>
    </row>
    <row r="17" spans="1:13" x14ac:dyDescent="0.25">
      <c r="A17" s="85">
        <f t="shared" si="0"/>
        <v>15</v>
      </c>
      <c r="B17" s="31" t="s">
        <v>367</v>
      </c>
      <c r="C17" s="4" t="s">
        <v>385</v>
      </c>
      <c r="D17" s="70" t="s">
        <v>5</v>
      </c>
      <c r="E17" s="225">
        <v>2252</v>
      </c>
      <c r="F17" s="233">
        <v>2252</v>
      </c>
      <c r="G17" s="238">
        <v>0</v>
      </c>
      <c r="H17" s="183">
        <v>6000</v>
      </c>
      <c r="I17" s="177">
        <v>3000</v>
      </c>
      <c r="J17" s="178">
        <v>9000</v>
      </c>
      <c r="K17" s="266"/>
      <c r="L17" s="1"/>
      <c r="M17" s="276">
        <v>9000</v>
      </c>
    </row>
    <row r="18" spans="1:13" x14ac:dyDescent="0.25">
      <c r="A18" s="85">
        <f t="shared" si="0"/>
        <v>16</v>
      </c>
      <c r="B18" s="1" t="s">
        <v>29</v>
      </c>
      <c r="C18" s="4" t="s">
        <v>387</v>
      </c>
      <c r="D18" s="70" t="s">
        <v>7</v>
      </c>
      <c r="E18" s="225">
        <v>1099</v>
      </c>
      <c r="F18" s="233">
        <v>1102</v>
      </c>
      <c r="G18" s="238">
        <v>3</v>
      </c>
      <c r="H18" s="183">
        <v>3000</v>
      </c>
      <c r="I18" s="177">
        <v>5100</v>
      </c>
      <c r="J18" s="178">
        <v>8100</v>
      </c>
      <c r="K18" s="266">
        <v>8100</v>
      </c>
      <c r="L18" s="1" t="s">
        <v>435</v>
      </c>
      <c r="M18" s="276">
        <v>0</v>
      </c>
    </row>
    <row r="19" spans="1:13" x14ac:dyDescent="0.25">
      <c r="A19" s="85">
        <f t="shared" si="0"/>
        <v>17</v>
      </c>
      <c r="B19" s="1" t="s">
        <v>30</v>
      </c>
      <c r="C19" s="4" t="s">
        <v>388</v>
      </c>
      <c r="D19" s="70" t="s">
        <v>5</v>
      </c>
      <c r="E19" s="225">
        <v>864</v>
      </c>
      <c r="F19" s="233">
        <v>864</v>
      </c>
      <c r="G19" s="238">
        <v>0</v>
      </c>
      <c r="H19" s="183">
        <v>9000</v>
      </c>
      <c r="I19" s="177">
        <v>3000</v>
      </c>
      <c r="J19" s="178">
        <v>12000</v>
      </c>
      <c r="K19" s="266"/>
      <c r="L19" s="1"/>
      <c r="M19" s="276">
        <v>12000</v>
      </c>
    </row>
    <row r="20" spans="1:13" x14ac:dyDescent="0.25">
      <c r="A20" s="85">
        <f t="shared" si="0"/>
        <v>18</v>
      </c>
      <c r="B20" s="1" t="s">
        <v>338</v>
      </c>
      <c r="C20" s="4" t="s">
        <v>339</v>
      </c>
      <c r="D20" s="70" t="s">
        <v>5</v>
      </c>
      <c r="E20" s="225">
        <v>1485</v>
      </c>
      <c r="F20" s="233">
        <v>1500</v>
      </c>
      <c r="G20" s="238">
        <v>15</v>
      </c>
      <c r="H20" s="183">
        <v>34350</v>
      </c>
      <c r="I20" s="177">
        <v>13500</v>
      </c>
      <c r="J20" s="178">
        <v>47850</v>
      </c>
      <c r="K20" s="266">
        <v>47850</v>
      </c>
      <c r="L20" s="1" t="s">
        <v>435</v>
      </c>
      <c r="M20" s="313">
        <v>0</v>
      </c>
    </row>
    <row r="21" spans="1:13" x14ac:dyDescent="0.25">
      <c r="A21" s="85">
        <f t="shared" si="0"/>
        <v>19</v>
      </c>
      <c r="B21" s="1" t="s">
        <v>32</v>
      </c>
      <c r="C21" s="4" t="s">
        <v>389</v>
      </c>
      <c r="D21" s="70" t="s">
        <v>5</v>
      </c>
      <c r="E21" s="225">
        <v>3</v>
      </c>
      <c r="F21" s="233">
        <v>3</v>
      </c>
      <c r="G21" s="238">
        <v>0</v>
      </c>
      <c r="H21" s="183">
        <v>14000</v>
      </c>
      <c r="I21" s="177">
        <v>3000</v>
      </c>
      <c r="J21" s="178">
        <v>17000</v>
      </c>
      <c r="K21" s="266">
        <v>20000</v>
      </c>
      <c r="L21" s="1" t="s">
        <v>435</v>
      </c>
      <c r="M21" s="309">
        <v>3000</v>
      </c>
    </row>
    <row r="22" spans="1:13" x14ac:dyDescent="0.25">
      <c r="A22" s="85">
        <f t="shared" si="0"/>
        <v>20</v>
      </c>
      <c r="B22" s="1" t="s">
        <v>33</v>
      </c>
      <c r="C22" s="4" t="s">
        <v>390</v>
      </c>
      <c r="D22" s="70" t="s">
        <v>5</v>
      </c>
      <c r="E22" s="225">
        <v>2148</v>
      </c>
      <c r="F22" s="233">
        <v>2173</v>
      </c>
      <c r="G22" s="238">
        <v>25</v>
      </c>
      <c r="H22" s="183">
        <v>14550</v>
      </c>
      <c r="I22" s="177">
        <v>24000</v>
      </c>
      <c r="J22" s="178">
        <v>38550</v>
      </c>
      <c r="K22" s="266">
        <v>20000</v>
      </c>
      <c r="L22" s="1" t="s">
        <v>434</v>
      </c>
      <c r="M22" s="276">
        <v>18550</v>
      </c>
    </row>
    <row r="23" spans="1:13" x14ac:dyDescent="0.25">
      <c r="A23" s="85">
        <f t="shared" si="0"/>
        <v>21</v>
      </c>
      <c r="B23" s="179" t="s">
        <v>372</v>
      </c>
      <c r="C23" s="210" t="s">
        <v>391</v>
      </c>
      <c r="D23" s="181" t="s">
        <v>5</v>
      </c>
      <c r="E23" s="227">
        <v>1491</v>
      </c>
      <c r="F23" s="233">
        <v>1494</v>
      </c>
      <c r="G23" s="238">
        <v>3</v>
      </c>
      <c r="H23" s="183">
        <v>7590</v>
      </c>
      <c r="I23" s="177">
        <v>5100</v>
      </c>
      <c r="J23" s="178">
        <v>12690</v>
      </c>
      <c r="K23" s="266">
        <v>12690</v>
      </c>
      <c r="L23" s="1" t="s">
        <v>435</v>
      </c>
      <c r="M23" s="276">
        <v>0</v>
      </c>
    </row>
    <row r="24" spans="1:13" x14ac:dyDescent="0.25">
      <c r="A24" s="85">
        <f t="shared" si="0"/>
        <v>22</v>
      </c>
      <c r="B24" s="1" t="s">
        <v>35</v>
      </c>
      <c r="C24" s="4" t="s">
        <v>340</v>
      </c>
      <c r="D24" s="70" t="s">
        <v>5</v>
      </c>
      <c r="E24" s="225">
        <v>88</v>
      </c>
      <c r="F24" s="233">
        <v>88</v>
      </c>
      <c r="G24" s="238">
        <v>0</v>
      </c>
      <c r="H24" s="183">
        <v>3000</v>
      </c>
      <c r="I24" s="177">
        <v>3000</v>
      </c>
      <c r="J24" s="178">
        <v>6000</v>
      </c>
      <c r="K24" s="266"/>
      <c r="L24" s="1"/>
      <c r="M24" s="276">
        <v>6000</v>
      </c>
    </row>
    <row r="25" spans="1:13" x14ac:dyDescent="0.25">
      <c r="A25" s="159">
        <f t="shared" si="0"/>
        <v>23</v>
      </c>
      <c r="B25" s="160" t="s">
        <v>36</v>
      </c>
      <c r="C25" s="161" t="s">
        <v>341</v>
      </c>
      <c r="D25" s="154" t="s">
        <v>5</v>
      </c>
      <c r="E25" s="228">
        <v>1810</v>
      </c>
      <c r="F25" s="246">
        <v>1822</v>
      </c>
      <c r="G25" s="237">
        <v>12</v>
      </c>
      <c r="H25" s="164">
        <v>7580</v>
      </c>
      <c r="I25" s="164">
        <v>5700</v>
      </c>
      <c r="J25" s="176">
        <v>13280</v>
      </c>
      <c r="K25" s="271"/>
      <c r="L25" s="160"/>
      <c r="M25" s="271">
        <v>20860</v>
      </c>
    </row>
    <row r="26" spans="1:13" x14ac:dyDescent="0.25">
      <c r="A26" s="85">
        <f t="shared" si="0"/>
        <v>24</v>
      </c>
      <c r="B26" s="1" t="s">
        <v>37</v>
      </c>
      <c r="C26" s="4" t="s">
        <v>342</v>
      </c>
      <c r="D26" s="70" t="s">
        <v>5</v>
      </c>
      <c r="E26" s="225">
        <v>597</v>
      </c>
      <c r="F26" s="233">
        <v>600</v>
      </c>
      <c r="G26" s="238">
        <v>3</v>
      </c>
      <c r="H26" s="183">
        <v>0</v>
      </c>
      <c r="I26" s="177">
        <v>5100</v>
      </c>
      <c r="J26" s="178">
        <v>5100</v>
      </c>
      <c r="K26" s="266"/>
      <c r="L26" s="1"/>
      <c r="M26" s="276">
        <v>5100</v>
      </c>
    </row>
    <row r="27" spans="1:13" x14ac:dyDescent="0.25">
      <c r="A27" s="85">
        <f t="shared" si="0"/>
        <v>25</v>
      </c>
      <c r="B27" s="1" t="s">
        <v>38</v>
      </c>
      <c r="C27" s="4" t="s">
        <v>343</v>
      </c>
      <c r="D27" s="70" t="s">
        <v>5</v>
      </c>
      <c r="E27" s="225">
        <v>818</v>
      </c>
      <c r="F27" s="233">
        <v>824</v>
      </c>
      <c r="G27" s="238">
        <v>6</v>
      </c>
      <c r="H27" s="193">
        <v>22080</v>
      </c>
      <c r="I27" s="177">
        <v>7200</v>
      </c>
      <c r="J27" s="178">
        <v>39970</v>
      </c>
      <c r="K27" s="266">
        <v>22080</v>
      </c>
      <c r="L27" s="1" t="s">
        <v>435</v>
      </c>
      <c r="M27" s="313">
        <v>17890</v>
      </c>
    </row>
    <row r="28" spans="1:13" x14ac:dyDescent="0.25">
      <c r="A28" s="85">
        <f t="shared" si="0"/>
        <v>26</v>
      </c>
      <c r="B28" s="1" t="s">
        <v>39</v>
      </c>
      <c r="C28" s="4" t="s">
        <v>344</v>
      </c>
      <c r="D28" s="70" t="s">
        <v>5</v>
      </c>
      <c r="E28" s="225">
        <v>1923</v>
      </c>
      <c r="F28" s="233">
        <v>1924</v>
      </c>
      <c r="G28" s="238">
        <v>1</v>
      </c>
      <c r="H28" s="183">
        <v>18300</v>
      </c>
      <c r="I28" s="177">
        <v>3700</v>
      </c>
      <c r="J28" s="178">
        <v>22000</v>
      </c>
      <c r="K28" s="266"/>
      <c r="L28" s="1"/>
      <c r="M28" s="313">
        <v>22000</v>
      </c>
    </row>
    <row r="29" spans="1:13" x14ac:dyDescent="0.25">
      <c r="A29" s="85">
        <f t="shared" si="0"/>
        <v>27</v>
      </c>
      <c r="B29" s="1" t="s">
        <v>40</v>
      </c>
      <c r="C29" s="4" t="s">
        <v>345</v>
      </c>
      <c r="D29" s="70" t="s">
        <v>5</v>
      </c>
      <c r="E29" s="225">
        <v>3158</v>
      </c>
      <c r="F29" s="233">
        <v>3174</v>
      </c>
      <c r="G29" s="238">
        <v>16</v>
      </c>
      <c r="H29" s="183">
        <v>63700</v>
      </c>
      <c r="I29" s="177">
        <v>14550</v>
      </c>
      <c r="J29" s="178">
        <v>78250</v>
      </c>
      <c r="K29" s="266"/>
      <c r="L29" s="305"/>
      <c r="M29" s="276">
        <v>78250</v>
      </c>
    </row>
    <row r="30" spans="1:13" x14ac:dyDescent="0.25">
      <c r="A30" s="85">
        <f t="shared" si="0"/>
        <v>28</v>
      </c>
      <c r="B30" s="1" t="s">
        <v>41</v>
      </c>
      <c r="C30" s="4"/>
      <c r="D30" s="70" t="s">
        <v>5</v>
      </c>
      <c r="E30" s="225">
        <v>2470</v>
      </c>
      <c r="F30" s="233">
        <v>2472</v>
      </c>
      <c r="G30" s="238">
        <v>2</v>
      </c>
      <c r="H30" s="183">
        <v>0</v>
      </c>
      <c r="I30" s="177">
        <v>4400</v>
      </c>
      <c r="J30" s="178">
        <v>4400</v>
      </c>
      <c r="K30" s="266"/>
      <c r="L30" s="1"/>
      <c r="M30" s="276">
        <v>4400</v>
      </c>
    </row>
    <row r="31" spans="1:13" x14ac:dyDescent="0.25">
      <c r="A31" s="85">
        <f t="shared" si="0"/>
        <v>29</v>
      </c>
      <c r="B31" s="1" t="s">
        <v>42</v>
      </c>
      <c r="C31" s="4" t="s">
        <v>346</v>
      </c>
      <c r="D31" s="70" t="s">
        <v>5</v>
      </c>
      <c r="E31" s="225">
        <v>3925</v>
      </c>
      <c r="F31" s="233">
        <v>3944</v>
      </c>
      <c r="G31" s="238">
        <v>19</v>
      </c>
      <c r="H31" s="183">
        <v>40000</v>
      </c>
      <c r="I31" s="177">
        <v>17700</v>
      </c>
      <c r="J31" s="178">
        <v>57700</v>
      </c>
      <c r="K31" s="266">
        <v>57700</v>
      </c>
      <c r="L31" s="1" t="s">
        <v>399</v>
      </c>
      <c r="M31" s="276">
        <v>40000</v>
      </c>
    </row>
    <row r="32" spans="1:13" x14ac:dyDescent="0.25">
      <c r="A32" s="85">
        <f t="shared" si="0"/>
        <v>30</v>
      </c>
      <c r="B32" s="1" t="s">
        <v>43</v>
      </c>
      <c r="C32" s="4" t="s">
        <v>347</v>
      </c>
      <c r="D32" s="70" t="s">
        <v>5</v>
      </c>
      <c r="E32" s="225">
        <v>3041</v>
      </c>
      <c r="F32" s="233">
        <v>3106</v>
      </c>
      <c r="G32" s="238">
        <v>65</v>
      </c>
      <c r="H32" s="183">
        <v>16000</v>
      </c>
      <c r="I32" s="177">
        <v>78250</v>
      </c>
      <c r="J32" s="178">
        <v>94250</v>
      </c>
      <c r="K32" s="266">
        <v>94250</v>
      </c>
      <c r="L32" s="1" t="s">
        <v>435</v>
      </c>
      <c r="M32" s="276">
        <v>0</v>
      </c>
    </row>
    <row r="33" spans="1:13" x14ac:dyDescent="0.25">
      <c r="A33" s="85">
        <f t="shared" si="0"/>
        <v>31</v>
      </c>
      <c r="B33" s="1" t="s">
        <v>44</v>
      </c>
      <c r="C33" s="4" t="s">
        <v>348</v>
      </c>
      <c r="D33" s="70" t="s">
        <v>5</v>
      </c>
      <c r="E33" s="225">
        <v>4836</v>
      </c>
      <c r="F33" s="233">
        <v>4864</v>
      </c>
      <c r="G33" s="238">
        <v>28</v>
      </c>
      <c r="H33" s="193">
        <v>113300</v>
      </c>
      <c r="I33" s="177">
        <v>27150</v>
      </c>
      <c r="J33" s="178">
        <v>140450</v>
      </c>
      <c r="K33" s="266">
        <v>140450</v>
      </c>
      <c r="L33" s="1" t="s">
        <v>399</v>
      </c>
      <c r="M33" s="310">
        <v>0</v>
      </c>
    </row>
    <row r="34" spans="1:13" x14ac:dyDescent="0.25">
      <c r="A34" s="85">
        <f t="shared" si="0"/>
        <v>32</v>
      </c>
      <c r="B34" s="179" t="s">
        <v>45</v>
      </c>
      <c r="C34" s="210" t="s">
        <v>392</v>
      </c>
      <c r="D34" s="181" t="s">
        <v>5</v>
      </c>
      <c r="E34" s="227">
        <v>817</v>
      </c>
      <c r="F34" s="265">
        <v>780</v>
      </c>
      <c r="G34" s="238">
        <v>0</v>
      </c>
      <c r="H34" s="183">
        <v>9500</v>
      </c>
      <c r="I34" s="177">
        <v>3000</v>
      </c>
      <c r="J34" s="178">
        <v>12500</v>
      </c>
      <c r="K34" s="266"/>
      <c r="L34" s="1"/>
      <c r="M34" s="276">
        <v>12500</v>
      </c>
    </row>
    <row r="35" spans="1:13" x14ac:dyDescent="0.25">
      <c r="A35" s="85">
        <f t="shared" si="0"/>
        <v>33</v>
      </c>
      <c r="B35" s="179" t="s">
        <v>360</v>
      </c>
      <c r="C35" s="210" t="s">
        <v>393</v>
      </c>
      <c r="D35" s="181" t="s">
        <v>5</v>
      </c>
      <c r="E35" s="227">
        <v>4454</v>
      </c>
      <c r="F35" s="233">
        <v>4468</v>
      </c>
      <c r="G35" s="238">
        <v>14</v>
      </c>
      <c r="H35" s="183">
        <v>9500</v>
      </c>
      <c r="I35" s="177">
        <v>12800</v>
      </c>
      <c r="J35" s="177">
        <v>12800</v>
      </c>
      <c r="K35" s="266">
        <v>12800</v>
      </c>
      <c r="L35" s="1" t="s">
        <v>435</v>
      </c>
      <c r="M35" s="276">
        <v>0</v>
      </c>
    </row>
    <row r="36" spans="1:13" x14ac:dyDescent="0.25">
      <c r="A36" s="85">
        <f t="shared" si="0"/>
        <v>34</v>
      </c>
      <c r="B36" s="179" t="s">
        <v>46</v>
      </c>
      <c r="C36" s="210" t="s">
        <v>394</v>
      </c>
      <c r="D36" s="181" t="s">
        <v>5</v>
      </c>
      <c r="E36" s="227">
        <v>1073</v>
      </c>
      <c r="F36" s="265">
        <v>2390</v>
      </c>
      <c r="G36" s="238">
        <v>35</v>
      </c>
      <c r="H36" s="183">
        <v>0</v>
      </c>
      <c r="I36" s="177">
        <v>36250</v>
      </c>
      <c r="J36" s="178">
        <v>36250</v>
      </c>
      <c r="K36" s="266">
        <v>36250</v>
      </c>
      <c r="L36" s="1" t="s">
        <v>399</v>
      </c>
      <c r="M36" s="276">
        <v>0</v>
      </c>
    </row>
    <row r="37" spans="1:13" x14ac:dyDescent="0.25">
      <c r="A37" s="85">
        <f t="shared" si="0"/>
        <v>35</v>
      </c>
      <c r="B37" s="1" t="s">
        <v>47</v>
      </c>
      <c r="C37" s="4" t="s">
        <v>395</v>
      </c>
      <c r="D37" s="70" t="s">
        <v>5</v>
      </c>
      <c r="E37" s="225">
        <v>4534</v>
      </c>
      <c r="F37" s="233">
        <v>4536</v>
      </c>
      <c r="G37" s="238">
        <v>2</v>
      </c>
      <c r="H37" s="183">
        <v>0</v>
      </c>
      <c r="I37" s="177">
        <v>4400</v>
      </c>
      <c r="J37" s="177">
        <v>4400</v>
      </c>
      <c r="K37" s="266"/>
      <c r="L37" s="1"/>
      <c r="M37" s="276">
        <v>4400</v>
      </c>
    </row>
    <row r="38" spans="1:13" x14ac:dyDescent="0.25">
      <c r="A38" s="159">
        <f t="shared" si="0"/>
        <v>36</v>
      </c>
      <c r="B38" s="160" t="s">
        <v>48</v>
      </c>
      <c r="C38" s="161" t="s">
        <v>396</v>
      </c>
      <c r="D38" s="154" t="s">
        <v>5</v>
      </c>
      <c r="E38" s="228">
        <v>1104</v>
      </c>
      <c r="F38" s="246">
        <v>1108</v>
      </c>
      <c r="G38" s="237">
        <v>4</v>
      </c>
      <c r="H38" s="176">
        <v>7590</v>
      </c>
      <c r="I38" s="164">
        <v>2900</v>
      </c>
      <c r="J38" s="176">
        <v>10490</v>
      </c>
      <c r="K38" s="271"/>
      <c r="L38" s="160"/>
      <c r="M38" s="311">
        <v>18080</v>
      </c>
    </row>
    <row r="39" spans="1:13" x14ac:dyDescent="0.25">
      <c r="A39" s="159">
        <f t="shared" si="0"/>
        <v>37</v>
      </c>
      <c r="B39" s="160" t="s">
        <v>398</v>
      </c>
      <c r="C39" s="161" t="s">
        <v>397</v>
      </c>
      <c r="D39" s="154" t="s">
        <v>5</v>
      </c>
      <c r="E39" s="228">
        <v>2920</v>
      </c>
      <c r="F39" s="246">
        <v>2929</v>
      </c>
      <c r="G39" s="237">
        <v>9</v>
      </c>
      <c r="H39" s="164">
        <v>9900</v>
      </c>
      <c r="I39" s="164">
        <v>4650</v>
      </c>
      <c r="J39" s="176">
        <v>14550</v>
      </c>
      <c r="K39" s="271">
        <v>14550</v>
      </c>
      <c r="L39" s="160" t="s">
        <v>435</v>
      </c>
      <c r="M39" s="271">
        <v>0</v>
      </c>
    </row>
    <row r="40" spans="1:13" x14ac:dyDescent="0.25">
      <c r="A40" s="85">
        <f t="shared" si="0"/>
        <v>38</v>
      </c>
      <c r="B40" s="1" t="s">
        <v>50</v>
      </c>
      <c r="C40" s="4" t="s">
        <v>400</v>
      </c>
      <c r="D40" s="70" t="s">
        <v>5</v>
      </c>
      <c r="E40" s="225">
        <v>2379</v>
      </c>
      <c r="F40" s="233">
        <v>2379</v>
      </c>
      <c r="G40" s="238">
        <v>0</v>
      </c>
      <c r="H40" s="183">
        <v>11800</v>
      </c>
      <c r="I40" s="177">
        <v>3000</v>
      </c>
      <c r="J40" s="178">
        <v>14800</v>
      </c>
      <c r="K40" s="266"/>
      <c r="L40" s="1"/>
      <c r="M40" s="276">
        <v>14800</v>
      </c>
    </row>
    <row r="41" spans="1:13" x14ac:dyDescent="0.25">
      <c r="A41" s="85">
        <f t="shared" si="0"/>
        <v>39</v>
      </c>
      <c r="B41" s="1" t="s">
        <v>51</v>
      </c>
      <c r="C41" s="4" t="s">
        <v>401</v>
      </c>
      <c r="D41" s="70" t="s">
        <v>5</v>
      </c>
      <c r="E41" s="225">
        <v>4287</v>
      </c>
      <c r="F41" s="233">
        <v>4327</v>
      </c>
      <c r="G41" s="238">
        <v>40</v>
      </c>
      <c r="H41" s="183">
        <v>0</v>
      </c>
      <c r="I41" s="177">
        <v>43250</v>
      </c>
      <c r="J41" s="178">
        <v>43250</v>
      </c>
      <c r="K41" s="266">
        <v>43250</v>
      </c>
      <c r="L41" s="1" t="s">
        <v>435</v>
      </c>
      <c r="M41" s="276">
        <v>0</v>
      </c>
    </row>
    <row r="42" spans="1:13" x14ac:dyDescent="0.25">
      <c r="A42" s="159">
        <f t="shared" si="0"/>
        <v>40</v>
      </c>
      <c r="B42" s="206" t="s">
        <v>365</v>
      </c>
      <c r="C42" s="207" t="s">
        <v>402</v>
      </c>
      <c r="D42" s="208" t="s">
        <v>5</v>
      </c>
      <c r="E42" s="226">
        <v>4042</v>
      </c>
      <c r="F42" s="264">
        <v>4150</v>
      </c>
      <c r="G42" s="237">
        <v>8</v>
      </c>
      <c r="H42" s="164">
        <v>1850</v>
      </c>
      <c r="I42" s="164">
        <v>4300</v>
      </c>
      <c r="J42" s="176">
        <v>6150</v>
      </c>
      <c r="K42" s="271">
        <v>6150</v>
      </c>
      <c r="L42" s="160" t="s">
        <v>399</v>
      </c>
      <c r="M42" s="271">
        <v>0</v>
      </c>
    </row>
    <row r="43" spans="1:13" x14ac:dyDescent="0.25">
      <c r="A43" s="85">
        <f t="shared" si="0"/>
        <v>41</v>
      </c>
      <c r="B43" s="1" t="s">
        <v>444</v>
      </c>
      <c r="C43" s="4" t="s">
        <v>403</v>
      </c>
      <c r="D43" s="70" t="s">
        <v>5</v>
      </c>
      <c r="E43" s="225">
        <v>2317</v>
      </c>
      <c r="F43" s="233">
        <v>2335</v>
      </c>
      <c r="G43" s="238">
        <v>18</v>
      </c>
      <c r="H43" s="183">
        <v>0</v>
      </c>
      <c r="I43" s="177">
        <v>16650</v>
      </c>
      <c r="J43" s="178">
        <v>16650</v>
      </c>
      <c r="K43" s="266">
        <v>16650</v>
      </c>
      <c r="L43" s="1" t="s">
        <v>435</v>
      </c>
      <c r="M43" s="276">
        <v>0</v>
      </c>
    </row>
    <row r="44" spans="1:13" x14ac:dyDescent="0.25">
      <c r="A44" s="159">
        <f t="shared" si="0"/>
        <v>42</v>
      </c>
      <c r="B44" s="160" t="s">
        <v>54</v>
      </c>
      <c r="C44" s="161" t="s">
        <v>404</v>
      </c>
      <c r="D44" s="154" t="s">
        <v>5</v>
      </c>
      <c r="E44" s="228">
        <v>1677</v>
      </c>
      <c r="F44" s="246">
        <v>1689</v>
      </c>
      <c r="G44" s="237">
        <v>12</v>
      </c>
      <c r="H44" s="164">
        <v>7590</v>
      </c>
      <c r="I44" s="164">
        <v>5700</v>
      </c>
      <c r="J44" s="176">
        <v>13290</v>
      </c>
      <c r="K44" s="271">
        <v>18990</v>
      </c>
      <c r="L44" s="160" t="s">
        <v>435</v>
      </c>
      <c r="M44" s="309">
        <v>5700</v>
      </c>
    </row>
    <row r="45" spans="1:13" x14ac:dyDescent="0.25">
      <c r="A45" s="85">
        <f t="shared" si="0"/>
        <v>43</v>
      </c>
      <c r="B45" s="248" t="s">
        <v>55</v>
      </c>
      <c r="C45" s="292" t="s">
        <v>405</v>
      </c>
      <c r="D45" s="250" t="s">
        <v>5</v>
      </c>
      <c r="E45" s="293">
        <v>1146</v>
      </c>
      <c r="F45" s="294">
        <v>1165</v>
      </c>
      <c r="G45" s="238">
        <v>19</v>
      </c>
      <c r="H45" s="183">
        <v>650</v>
      </c>
      <c r="I45" s="177">
        <v>17700</v>
      </c>
      <c r="J45" s="178">
        <v>18350</v>
      </c>
      <c r="K45" s="266">
        <v>18350</v>
      </c>
      <c r="L45" s="1" t="s">
        <v>435</v>
      </c>
      <c r="M45" s="276">
        <v>0</v>
      </c>
    </row>
    <row r="46" spans="1:13" x14ac:dyDescent="0.25">
      <c r="A46" s="85">
        <f t="shared" si="0"/>
        <v>44</v>
      </c>
      <c r="B46" s="1" t="s">
        <v>56</v>
      </c>
      <c r="C46" s="5" t="s">
        <v>406</v>
      </c>
      <c r="D46" s="70" t="s">
        <v>5</v>
      </c>
      <c r="E46" s="225">
        <v>419</v>
      </c>
      <c r="F46" s="233">
        <v>426</v>
      </c>
      <c r="G46" s="238">
        <v>7</v>
      </c>
      <c r="H46" s="110">
        <v>9100</v>
      </c>
      <c r="I46" s="177">
        <v>7900</v>
      </c>
      <c r="J46" s="178">
        <v>17000</v>
      </c>
      <c r="K46" s="266"/>
      <c r="L46" s="1"/>
      <c r="M46" s="312">
        <v>17000</v>
      </c>
    </row>
    <row r="47" spans="1:13" x14ac:dyDescent="0.25">
      <c r="A47" s="159">
        <f t="shared" si="0"/>
        <v>45</v>
      </c>
      <c r="B47" s="160" t="s">
        <v>57</v>
      </c>
      <c r="C47" s="161" t="s">
        <v>407</v>
      </c>
      <c r="D47" s="154" t="s">
        <v>5</v>
      </c>
      <c r="E47" s="228">
        <v>3809</v>
      </c>
      <c r="F47" s="246">
        <v>3820</v>
      </c>
      <c r="G47" s="237">
        <v>11</v>
      </c>
      <c r="H47" s="164">
        <v>12000</v>
      </c>
      <c r="I47" s="164">
        <v>5350</v>
      </c>
      <c r="J47" s="176">
        <v>17350</v>
      </c>
      <c r="K47" s="271">
        <v>17350</v>
      </c>
      <c r="L47" s="160" t="s">
        <v>435</v>
      </c>
      <c r="M47" s="271">
        <v>0</v>
      </c>
    </row>
    <row r="48" spans="1:13" x14ac:dyDescent="0.25">
      <c r="A48" s="85">
        <f t="shared" si="0"/>
        <v>46</v>
      </c>
      <c r="B48" s="1" t="s">
        <v>350</v>
      </c>
      <c r="C48" s="4"/>
      <c r="D48" s="70" t="s">
        <v>5</v>
      </c>
      <c r="E48" s="225">
        <v>1057</v>
      </c>
      <c r="F48" s="233">
        <v>1057</v>
      </c>
      <c r="G48" s="238">
        <v>0</v>
      </c>
      <c r="H48" s="183">
        <v>3700</v>
      </c>
      <c r="I48" s="177">
        <v>3000</v>
      </c>
      <c r="J48" s="178">
        <v>6700</v>
      </c>
      <c r="K48" s="266">
        <v>6700</v>
      </c>
      <c r="L48" s="1" t="s">
        <v>435</v>
      </c>
      <c r="M48" s="276">
        <v>0</v>
      </c>
    </row>
    <row r="49" spans="1:13" x14ac:dyDescent="0.25">
      <c r="A49" s="85">
        <f t="shared" si="0"/>
        <v>47</v>
      </c>
      <c r="B49" s="1" t="s">
        <v>59</v>
      </c>
      <c r="C49" s="4" t="s">
        <v>408</v>
      </c>
      <c r="D49" s="70" t="s">
        <v>5</v>
      </c>
      <c r="E49" s="225">
        <v>523</v>
      </c>
      <c r="F49" s="233">
        <v>530</v>
      </c>
      <c r="G49" s="238">
        <v>7</v>
      </c>
      <c r="H49" s="183">
        <v>0</v>
      </c>
      <c r="I49" s="177">
        <v>7900</v>
      </c>
      <c r="J49" s="177">
        <v>7900</v>
      </c>
      <c r="K49" s="266">
        <v>7900</v>
      </c>
      <c r="L49" s="1" t="s">
        <v>435</v>
      </c>
      <c r="M49" s="276">
        <v>0</v>
      </c>
    </row>
    <row r="50" spans="1:13" x14ac:dyDescent="0.25">
      <c r="A50" s="85">
        <f t="shared" si="0"/>
        <v>48</v>
      </c>
      <c r="B50" s="179" t="s">
        <v>60</v>
      </c>
      <c r="C50" s="210" t="s">
        <v>409</v>
      </c>
      <c r="D50" s="181" t="s">
        <v>5</v>
      </c>
      <c r="E50" s="227">
        <v>3485</v>
      </c>
      <c r="F50" s="233">
        <v>3500</v>
      </c>
      <c r="G50" s="238">
        <v>15</v>
      </c>
      <c r="H50" s="183">
        <v>0</v>
      </c>
      <c r="I50" s="177">
        <v>13500</v>
      </c>
      <c r="J50" s="178">
        <v>13500</v>
      </c>
      <c r="K50" s="266">
        <v>13500</v>
      </c>
      <c r="L50" s="1" t="s">
        <v>454</v>
      </c>
      <c r="M50" s="276">
        <v>0</v>
      </c>
    </row>
    <row r="51" spans="1:13" x14ac:dyDescent="0.25">
      <c r="A51" s="85">
        <f>A50+1</f>
        <v>49</v>
      </c>
      <c r="B51" s="1" t="s">
        <v>351</v>
      </c>
      <c r="C51" s="4" t="s">
        <v>410</v>
      </c>
      <c r="D51" s="70" t="s">
        <v>5</v>
      </c>
      <c r="E51" s="225">
        <v>2375</v>
      </c>
      <c r="F51" s="233">
        <v>2376</v>
      </c>
      <c r="G51" s="238">
        <v>1</v>
      </c>
      <c r="H51" s="183">
        <v>3700</v>
      </c>
      <c r="I51" s="177">
        <v>3700</v>
      </c>
      <c r="J51" s="178">
        <v>7400</v>
      </c>
      <c r="K51" s="266">
        <v>7400</v>
      </c>
      <c r="L51" s="1" t="s">
        <v>435</v>
      </c>
      <c r="M51" s="276">
        <v>0</v>
      </c>
    </row>
    <row r="52" spans="1:13" x14ac:dyDescent="0.25">
      <c r="A52" s="85">
        <f t="shared" ref="A52:A70" si="1">A51+1</f>
        <v>50</v>
      </c>
      <c r="B52" s="1" t="s">
        <v>61</v>
      </c>
      <c r="C52" s="4" t="s">
        <v>411</v>
      </c>
      <c r="D52" s="70" t="s">
        <v>5</v>
      </c>
      <c r="E52" s="225">
        <v>712</v>
      </c>
      <c r="F52" s="233">
        <v>716</v>
      </c>
      <c r="G52" s="238">
        <v>4</v>
      </c>
      <c r="H52" s="192">
        <v>700</v>
      </c>
      <c r="I52" s="177">
        <v>5800</v>
      </c>
      <c r="J52" s="178">
        <v>5100</v>
      </c>
      <c r="K52" s="266">
        <v>5800</v>
      </c>
      <c r="L52" s="1" t="s">
        <v>435</v>
      </c>
      <c r="M52" s="309">
        <v>700</v>
      </c>
    </row>
    <row r="53" spans="1:13" x14ac:dyDescent="0.25">
      <c r="A53" s="85">
        <f t="shared" si="1"/>
        <v>51</v>
      </c>
      <c r="B53" s="1" t="s">
        <v>62</v>
      </c>
      <c r="C53" s="4" t="s">
        <v>412</v>
      </c>
      <c r="D53" s="70" t="s">
        <v>5</v>
      </c>
      <c r="E53" s="225">
        <v>1767</v>
      </c>
      <c r="F53" s="233">
        <v>1780</v>
      </c>
      <c r="G53" s="238">
        <v>13</v>
      </c>
      <c r="H53" s="183">
        <v>10200</v>
      </c>
      <c r="I53" s="177">
        <v>12100</v>
      </c>
      <c r="J53" s="178">
        <v>22300</v>
      </c>
      <c r="K53" s="266"/>
      <c r="L53" s="1"/>
      <c r="M53" s="313">
        <v>22300</v>
      </c>
    </row>
    <row r="54" spans="1:13" x14ac:dyDescent="0.25">
      <c r="A54" s="85">
        <f t="shared" si="1"/>
        <v>52</v>
      </c>
      <c r="B54" s="1" t="s">
        <v>63</v>
      </c>
      <c r="C54" s="162" t="s">
        <v>413</v>
      </c>
      <c r="D54" s="70" t="s">
        <v>5</v>
      </c>
      <c r="E54" s="225">
        <v>1494</v>
      </c>
      <c r="F54" s="233">
        <v>1507</v>
      </c>
      <c r="G54" s="238">
        <v>13</v>
      </c>
      <c r="H54" s="183">
        <v>57040</v>
      </c>
      <c r="I54" s="177">
        <v>12100</v>
      </c>
      <c r="J54" s="178">
        <v>92580</v>
      </c>
      <c r="K54" s="266">
        <v>50000</v>
      </c>
      <c r="L54" s="1" t="s">
        <v>435</v>
      </c>
      <c r="M54" s="276">
        <v>42580</v>
      </c>
    </row>
    <row r="55" spans="1:13" x14ac:dyDescent="0.25">
      <c r="A55" s="85">
        <f t="shared" si="1"/>
        <v>53</v>
      </c>
      <c r="B55" s="1" t="s">
        <v>64</v>
      </c>
      <c r="C55" s="4" t="s">
        <v>414</v>
      </c>
      <c r="D55" s="70" t="s">
        <v>5</v>
      </c>
      <c r="E55" s="225">
        <v>726</v>
      </c>
      <c r="F55" s="233">
        <v>731</v>
      </c>
      <c r="G55" s="238">
        <v>5</v>
      </c>
      <c r="H55" s="183">
        <v>0</v>
      </c>
      <c r="I55" s="177">
        <v>6500</v>
      </c>
      <c r="J55" s="178">
        <v>6500</v>
      </c>
      <c r="K55" s="266">
        <v>6500</v>
      </c>
      <c r="L55" s="1" t="s">
        <v>399</v>
      </c>
      <c r="M55" s="276">
        <v>0</v>
      </c>
    </row>
    <row r="56" spans="1:13" x14ac:dyDescent="0.25">
      <c r="A56" s="85">
        <f t="shared" si="1"/>
        <v>54</v>
      </c>
      <c r="B56" s="1" t="s">
        <v>65</v>
      </c>
      <c r="C56" s="4" t="s">
        <v>415</v>
      </c>
      <c r="D56" s="70" t="s">
        <v>5</v>
      </c>
      <c r="E56" s="225">
        <v>1376</v>
      </c>
      <c r="F56" s="233">
        <v>1390</v>
      </c>
      <c r="G56" s="238">
        <v>14</v>
      </c>
      <c r="H56" s="183">
        <v>0</v>
      </c>
      <c r="I56" s="177">
        <v>12800</v>
      </c>
      <c r="J56" s="178">
        <v>12800</v>
      </c>
      <c r="K56" s="266">
        <v>12800</v>
      </c>
      <c r="L56" s="1" t="s">
        <v>435</v>
      </c>
      <c r="M56" s="276">
        <v>0</v>
      </c>
    </row>
    <row r="57" spans="1:13" x14ac:dyDescent="0.25">
      <c r="A57" s="85">
        <f t="shared" si="1"/>
        <v>55</v>
      </c>
      <c r="B57" s="1" t="s">
        <v>66</v>
      </c>
      <c r="C57" s="4" t="s">
        <v>416</v>
      </c>
      <c r="D57" s="70" t="s">
        <v>5</v>
      </c>
      <c r="E57" s="225">
        <v>6296</v>
      </c>
      <c r="F57" s="233">
        <v>6300</v>
      </c>
      <c r="G57" s="238">
        <v>4</v>
      </c>
      <c r="H57" s="183">
        <v>0</v>
      </c>
      <c r="I57" s="177">
        <v>5800</v>
      </c>
      <c r="J57" s="178">
        <v>5800</v>
      </c>
      <c r="K57" s="266">
        <v>5800</v>
      </c>
      <c r="L57" s="1" t="s">
        <v>435</v>
      </c>
      <c r="M57" s="276">
        <v>0</v>
      </c>
    </row>
    <row r="58" spans="1:13" x14ac:dyDescent="0.25">
      <c r="A58" s="85">
        <f t="shared" si="1"/>
        <v>56</v>
      </c>
      <c r="B58" s="179" t="s">
        <v>67</v>
      </c>
      <c r="C58" s="210" t="s">
        <v>417</v>
      </c>
      <c r="D58" s="181" t="s">
        <v>5</v>
      </c>
      <c r="E58" s="227">
        <v>9355</v>
      </c>
      <c r="F58" s="294">
        <v>967</v>
      </c>
      <c r="G58" s="238">
        <v>12</v>
      </c>
      <c r="H58" s="183">
        <v>16000</v>
      </c>
      <c r="I58" s="177">
        <v>11400</v>
      </c>
      <c r="J58" s="178">
        <v>11400</v>
      </c>
      <c r="K58" s="266">
        <v>27400</v>
      </c>
      <c r="L58" s="1" t="s">
        <v>435</v>
      </c>
      <c r="M58" s="276">
        <v>16000</v>
      </c>
    </row>
    <row r="59" spans="1:13" x14ac:dyDescent="0.25">
      <c r="A59" s="85">
        <f t="shared" si="1"/>
        <v>57</v>
      </c>
      <c r="B59" s="1" t="s">
        <v>368</v>
      </c>
      <c r="C59" s="4" t="s">
        <v>418</v>
      </c>
      <c r="D59" s="70" t="s">
        <v>5</v>
      </c>
      <c r="E59" s="225">
        <v>760</v>
      </c>
      <c r="F59" s="233">
        <v>763</v>
      </c>
      <c r="G59" s="238">
        <v>3</v>
      </c>
      <c r="H59" s="183">
        <v>5800</v>
      </c>
      <c r="I59" s="177">
        <v>5100</v>
      </c>
      <c r="J59" s="178">
        <v>10900</v>
      </c>
      <c r="K59" s="266">
        <v>10900</v>
      </c>
      <c r="L59" s="1" t="s">
        <v>435</v>
      </c>
      <c r="M59" s="276">
        <v>0</v>
      </c>
    </row>
    <row r="60" spans="1:13" x14ac:dyDescent="0.25">
      <c r="A60" s="85">
        <f t="shared" si="1"/>
        <v>58</v>
      </c>
      <c r="B60" s="1" t="s">
        <v>69</v>
      </c>
      <c r="C60" s="4" t="s">
        <v>90</v>
      </c>
      <c r="D60" s="70" t="s">
        <v>5</v>
      </c>
      <c r="E60" s="225">
        <v>1431</v>
      </c>
      <c r="F60" s="233">
        <v>1436</v>
      </c>
      <c r="G60" s="238">
        <v>5</v>
      </c>
      <c r="H60" s="183">
        <v>25290</v>
      </c>
      <c r="I60" s="177">
        <v>6500</v>
      </c>
      <c r="J60" s="178">
        <v>31790</v>
      </c>
      <c r="K60" s="254">
        <v>31790</v>
      </c>
      <c r="L60" s="1" t="s">
        <v>435</v>
      </c>
      <c r="M60" s="276">
        <v>0</v>
      </c>
    </row>
    <row r="61" spans="1:13" x14ac:dyDescent="0.25">
      <c r="A61" s="85">
        <f t="shared" si="1"/>
        <v>59</v>
      </c>
      <c r="B61" s="179" t="s">
        <v>70</v>
      </c>
      <c r="C61" s="211" t="s">
        <v>419</v>
      </c>
      <c r="D61" s="181" t="s">
        <v>5</v>
      </c>
      <c r="E61" s="227">
        <v>221</v>
      </c>
      <c r="F61" s="233">
        <v>221</v>
      </c>
      <c r="G61" s="238">
        <v>0</v>
      </c>
      <c r="H61" s="183">
        <v>0</v>
      </c>
      <c r="I61" s="177">
        <v>3000</v>
      </c>
      <c r="J61" s="178">
        <v>3000</v>
      </c>
      <c r="K61" s="266"/>
      <c r="L61" s="1"/>
      <c r="M61" s="276">
        <v>3000</v>
      </c>
    </row>
    <row r="62" spans="1:13" x14ac:dyDescent="0.25">
      <c r="A62" s="85">
        <f t="shared" si="1"/>
        <v>60</v>
      </c>
      <c r="B62" s="179" t="s">
        <v>431</v>
      </c>
      <c r="C62" s="210" t="s">
        <v>89</v>
      </c>
      <c r="D62" s="181" t="s">
        <v>5</v>
      </c>
      <c r="E62" s="227">
        <v>3054</v>
      </c>
      <c r="F62" s="265">
        <v>3054</v>
      </c>
      <c r="G62" s="238">
        <v>0</v>
      </c>
      <c r="H62" s="183">
        <v>0</v>
      </c>
      <c r="I62" s="177">
        <v>3000</v>
      </c>
      <c r="J62" s="178">
        <v>3000</v>
      </c>
      <c r="K62" s="266"/>
      <c r="L62" s="1"/>
      <c r="M62" s="276">
        <v>3000</v>
      </c>
    </row>
    <row r="63" spans="1:13" x14ac:dyDescent="0.25">
      <c r="A63" s="85">
        <f t="shared" si="1"/>
        <v>61</v>
      </c>
      <c r="B63" s="1" t="s">
        <v>72</v>
      </c>
      <c r="C63" s="4" t="s">
        <v>88</v>
      </c>
      <c r="D63" s="70" t="s">
        <v>5</v>
      </c>
      <c r="E63" s="225">
        <v>8605</v>
      </c>
      <c r="F63" s="233">
        <v>8947</v>
      </c>
      <c r="G63" s="238">
        <v>342</v>
      </c>
      <c r="H63" s="183">
        <v>0</v>
      </c>
      <c r="I63" s="177">
        <v>338400</v>
      </c>
      <c r="J63" s="178">
        <v>338400</v>
      </c>
      <c r="K63" s="266">
        <v>338400</v>
      </c>
      <c r="L63" s="1" t="s">
        <v>435</v>
      </c>
      <c r="M63" s="276">
        <v>0</v>
      </c>
    </row>
    <row r="64" spans="1:13" x14ac:dyDescent="0.25">
      <c r="A64" s="85">
        <f t="shared" si="1"/>
        <v>62</v>
      </c>
      <c r="B64" s="1" t="s">
        <v>73</v>
      </c>
      <c r="C64" s="4" t="s">
        <v>87</v>
      </c>
      <c r="D64" s="70" t="s">
        <v>5</v>
      </c>
      <c r="E64" s="225">
        <v>143</v>
      </c>
      <c r="F64" s="233">
        <v>149</v>
      </c>
      <c r="G64" s="238">
        <v>6</v>
      </c>
      <c r="H64" s="183">
        <v>0</v>
      </c>
      <c r="I64" s="177">
        <v>7200</v>
      </c>
      <c r="J64" s="178">
        <v>7200</v>
      </c>
      <c r="K64" s="266"/>
      <c r="L64" s="1"/>
      <c r="M64" s="276">
        <v>7200</v>
      </c>
    </row>
    <row r="65" spans="1:13" x14ac:dyDescent="0.25">
      <c r="A65" s="85">
        <f t="shared" si="1"/>
        <v>63</v>
      </c>
      <c r="B65" s="1" t="s">
        <v>74</v>
      </c>
      <c r="C65" s="4" t="s">
        <v>86</v>
      </c>
      <c r="D65" s="70" t="s">
        <v>5</v>
      </c>
      <c r="E65" s="225">
        <v>22</v>
      </c>
      <c r="F65" s="233">
        <v>22</v>
      </c>
      <c r="G65" s="238">
        <v>0</v>
      </c>
      <c r="H65" s="183">
        <v>3100</v>
      </c>
      <c r="I65" s="177">
        <v>3000</v>
      </c>
      <c r="J65" s="178">
        <v>6100</v>
      </c>
      <c r="K65" s="266"/>
      <c r="L65" s="1"/>
      <c r="M65" s="276">
        <v>6100</v>
      </c>
    </row>
    <row r="66" spans="1:13" x14ac:dyDescent="0.25">
      <c r="A66" s="85">
        <f t="shared" si="1"/>
        <v>64</v>
      </c>
      <c r="B66" s="1" t="s">
        <v>369</v>
      </c>
      <c r="C66" s="4" t="s">
        <v>85</v>
      </c>
      <c r="D66" s="70" t="s">
        <v>5</v>
      </c>
      <c r="E66" s="225">
        <v>78</v>
      </c>
      <c r="F66" s="233">
        <v>78</v>
      </c>
      <c r="G66" s="238">
        <v>0</v>
      </c>
      <c r="H66" s="183">
        <v>6000</v>
      </c>
      <c r="I66" s="177">
        <v>3000</v>
      </c>
      <c r="J66" s="178">
        <v>9000</v>
      </c>
      <c r="K66" s="266">
        <v>9000</v>
      </c>
      <c r="L66" s="1" t="s">
        <v>435</v>
      </c>
      <c r="M66" s="276">
        <v>0</v>
      </c>
    </row>
    <row r="67" spans="1:13" x14ac:dyDescent="0.25">
      <c r="A67" s="85">
        <f t="shared" si="1"/>
        <v>65</v>
      </c>
      <c r="B67" s="1" t="s">
        <v>75</v>
      </c>
      <c r="C67" s="4" t="s">
        <v>83</v>
      </c>
      <c r="D67" s="70" t="s">
        <v>5</v>
      </c>
      <c r="E67" s="225">
        <v>2888</v>
      </c>
      <c r="F67" s="233">
        <v>2926</v>
      </c>
      <c r="G67" s="238">
        <v>38</v>
      </c>
      <c r="H67" s="183">
        <v>0</v>
      </c>
      <c r="I67" s="177">
        <v>40450</v>
      </c>
      <c r="J67" s="178">
        <v>40450</v>
      </c>
      <c r="K67" s="266">
        <v>40500</v>
      </c>
      <c r="L67" s="1" t="s">
        <v>435</v>
      </c>
      <c r="M67" s="309">
        <v>50</v>
      </c>
    </row>
    <row r="68" spans="1:13" x14ac:dyDescent="0.25">
      <c r="A68" s="85">
        <f t="shared" si="1"/>
        <v>66</v>
      </c>
      <c r="B68" s="1" t="s">
        <v>76</v>
      </c>
      <c r="C68" s="4" t="s">
        <v>82</v>
      </c>
      <c r="D68" s="70" t="s">
        <v>5</v>
      </c>
      <c r="E68" s="225">
        <v>1260</v>
      </c>
      <c r="F68" s="233">
        <v>1277</v>
      </c>
      <c r="G68" s="238">
        <v>17</v>
      </c>
      <c r="H68" s="183">
        <v>0</v>
      </c>
      <c r="I68" s="177">
        <v>15600</v>
      </c>
      <c r="J68" s="178">
        <v>15600</v>
      </c>
      <c r="K68" s="266">
        <v>15600</v>
      </c>
      <c r="L68" s="1" t="s">
        <v>435</v>
      </c>
      <c r="M68" s="276">
        <v>0</v>
      </c>
    </row>
    <row r="69" spans="1:13" x14ac:dyDescent="0.25">
      <c r="A69" s="85">
        <f t="shared" si="1"/>
        <v>67</v>
      </c>
      <c r="B69" s="179" t="s">
        <v>77</v>
      </c>
      <c r="C69" s="210" t="s">
        <v>6</v>
      </c>
      <c r="D69" s="181" t="s">
        <v>5</v>
      </c>
      <c r="E69" s="227">
        <v>1739</v>
      </c>
      <c r="F69" s="233">
        <v>1739</v>
      </c>
      <c r="G69" s="238">
        <v>0</v>
      </c>
      <c r="H69" s="183">
        <v>6000</v>
      </c>
      <c r="I69" s="177">
        <v>3000</v>
      </c>
      <c r="J69" s="178">
        <v>9000</v>
      </c>
      <c r="K69" s="266"/>
      <c r="L69" s="1"/>
      <c r="M69" s="276">
        <v>9000</v>
      </c>
    </row>
    <row r="70" spans="1:13" x14ac:dyDescent="0.25">
      <c r="A70" s="85">
        <f t="shared" si="1"/>
        <v>68</v>
      </c>
      <c r="B70" s="1" t="s">
        <v>78</v>
      </c>
      <c r="C70" s="4" t="s">
        <v>79</v>
      </c>
      <c r="D70" s="70" t="s">
        <v>5</v>
      </c>
      <c r="E70" s="225">
        <v>1387</v>
      </c>
      <c r="F70" s="233">
        <v>1399</v>
      </c>
      <c r="G70" s="238">
        <v>12</v>
      </c>
      <c r="H70" s="183">
        <v>0</v>
      </c>
      <c r="I70" s="177">
        <v>11400</v>
      </c>
      <c r="J70" s="178">
        <v>11400</v>
      </c>
      <c r="K70" s="266">
        <v>11400</v>
      </c>
      <c r="L70" s="1" t="s">
        <v>435</v>
      </c>
      <c r="M70" s="276">
        <v>0</v>
      </c>
    </row>
    <row r="71" spans="1:13" x14ac:dyDescent="0.25">
      <c r="A71" s="85">
        <v>69</v>
      </c>
      <c r="B71" s="1" t="s">
        <v>80</v>
      </c>
      <c r="C71" s="4" t="s">
        <v>81</v>
      </c>
      <c r="D71" s="70" t="s">
        <v>5</v>
      </c>
      <c r="E71" s="225">
        <v>62</v>
      </c>
      <c r="F71" s="233">
        <v>63</v>
      </c>
      <c r="G71" s="238">
        <v>0</v>
      </c>
      <c r="H71" s="166">
        <v>0</v>
      </c>
      <c r="I71" s="177">
        <v>3700</v>
      </c>
      <c r="J71" s="177">
        <v>3700</v>
      </c>
      <c r="K71" s="266">
        <v>3700</v>
      </c>
      <c r="L71" s="1" t="s">
        <v>435</v>
      </c>
      <c r="M71" s="276">
        <v>0</v>
      </c>
    </row>
    <row r="72" spans="1:13" x14ac:dyDescent="0.25">
      <c r="A72" s="85">
        <v>70</v>
      </c>
      <c r="B72" s="9" t="s">
        <v>445</v>
      </c>
      <c r="C72" s="230" t="s">
        <v>447</v>
      </c>
      <c r="D72" s="70" t="s">
        <v>5</v>
      </c>
      <c r="E72" s="229">
        <v>0</v>
      </c>
      <c r="F72" s="233">
        <v>0</v>
      </c>
      <c r="G72" s="233">
        <v>0</v>
      </c>
      <c r="H72" s="276">
        <v>3000</v>
      </c>
      <c r="I72" s="266">
        <v>3000</v>
      </c>
      <c r="J72" s="266">
        <v>6000</v>
      </c>
      <c r="K72" s="266">
        <v>31000</v>
      </c>
      <c r="L72" s="1" t="s">
        <v>435</v>
      </c>
      <c r="M72" s="276">
        <v>25000</v>
      </c>
    </row>
    <row r="73" spans="1:13" x14ac:dyDescent="0.25">
      <c r="A73" s="85">
        <v>71</v>
      </c>
      <c r="B73" s="9" t="s">
        <v>446</v>
      </c>
      <c r="C73" s="4" t="s">
        <v>448</v>
      </c>
      <c r="D73" s="70" t="s">
        <v>5</v>
      </c>
      <c r="E73" s="229">
        <v>0</v>
      </c>
      <c r="F73" s="233">
        <v>12</v>
      </c>
      <c r="G73" s="233">
        <v>12</v>
      </c>
      <c r="H73" s="276"/>
      <c r="I73" s="266">
        <v>11400</v>
      </c>
      <c r="J73" s="266">
        <v>11400</v>
      </c>
      <c r="K73" s="266">
        <v>11400</v>
      </c>
      <c r="L73" s="1" t="s">
        <v>435</v>
      </c>
      <c r="M73" s="276">
        <v>0</v>
      </c>
    </row>
    <row r="74" spans="1:13" x14ac:dyDescent="0.25">
      <c r="A74" s="118">
        <v>72</v>
      </c>
      <c r="B74" s="9" t="s">
        <v>453</v>
      </c>
      <c r="C74" s="186" t="s">
        <v>452</v>
      </c>
      <c r="D74" s="70" t="s">
        <v>5</v>
      </c>
      <c r="E74" s="257"/>
      <c r="F74" s="258"/>
      <c r="G74" s="258"/>
      <c r="H74" s="166"/>
      <c r="I74" s="296">
        <v>13335</v>
      </c>
      <c r="J74" s="165"/>
      <c r="K74" s="266">
        <v>13335</v>
      </c>
      <c r="L74" s="1" t="s">
        <v>435</v>
      </c>
      <c r="M74" s="307">
        <v>13335</v>
      </c>
    </row>
    <row r="75" spans="1:13" ht="15.75" thickBot="1" x14ac:dyDescent="0.3">
      <c r="A75" s="150"/>
      <c r="B75" s="143"/>
      <c r="C75" s="260"/>
      <c r="D75" s="260"/>
      <c r="E75" s="261"/>
      <c r="F75" s="262"/>
      <c r="G75" s="262"/>
      <c r="H75" s="261"/>
      <c r="I75" s="263"/>
    </row>
    <row r="76" spans="1:13" x14ac:dyDescent="0.25">
      <c r="A76" s="378" t="s">
        <v>461</v>
      </c>
      <c r="B76" s="378"/>
      <c r="C76" s="378"/>
      <c r="D76" s="132"/>
      <c r="E76" s="151"/>
      <c r="F76" s="236"/>
      <c r="G76" s="236"/>
      <c r="H76" s="131"/>
      <c r="I76" s="131"/>
      <c r="J76" s="133"/>
    </row>
    <row r="77" spans="1:13" x14ac:dyDescent="0.25">
      <c r="A77" s="91" t="s">
        <v>3</v>
      </c>
      <c r="B77" s="128" t="s">
        <v>0</v>
      </c>
      <c r="C77" s="128" t="s">
        <v>1</v>
      </c>
      <c r="D77" s="129" t="s">
        <v>2</v>
      </c>
      <c r="E77" s="129" t="s">
        <v>439</v>
      </c>
      <c r="F77" s="235" t="s">
        <v>337</v>
      </c>
      <c r="G77" s="235" t="s">
        <v>10</v>
      </c>
      <c r="H77" s="129" t="s">
        <v>356</v>
      </c>
      <c r="I77" s="129" t="s">
        <v>357</v>
      </c>
      <c r="J77" s="128" t="s">
        <v>11</v>
      </c>
      <c r="K77" s="270" t="s">
        <v>12</v>
      </c>
      <c r="L77" s="129" t="s">
        <v>355</v>
      </c>
      <c r="M77" s="308" t="s">
        <v>13</v>
      </c>
    </row>
    <row r="78" spans="1:13" x14ac:dyDescent="0.25">
      <c r="A78" s="219">
        <v>1</v>
      </c>
      <c r="B78" s="206" t="s">
        <v>102</v>
      </c>
      <c r="C78" s="220" t="s">
        <v>103</v>
      </c>
      <c r="D78" s="208" t="s">
        <v>334</v>
      </c>
      <c r="E78" s="209">
        <v>43</v>
      </c>
      <c r="F78" s="240">
        <v>61</v>
      </c>
      <c r="G78" s="240">
        <v>18</v>
      </c>
      <c r="H78" s="222">
        <v>22750</v>
      </c>
      <c r="I78" s="223">
        <v>9900</v>
      </c>
      <c r="J78" s="223">
        <v>32650</v>
      </c>
      <c r="K78" s="272">
        <v>32650</v>
      </c>
      <c r="L78" s="206" t="s">
        <v>399</v>
      </c>
      <c r="M78" s="272">
        <v>22750</v>
      </c>
    </row>
    <row r="79" spans="1:13" x14ac:dyDescent="0.25">
      <c r="A79" s="85">
        <f t="shared" ref="A79:A88" si="2">A78+1</f>
        <v>2</v>
      </c>
      <c r="B79" s="185" t="s">
        <v>370</v>
      </c>
      <c r="C79" s="58"/>
      <c r="D79" s="70" t="s">
        <v>334</v>
      </c>
      <c r="E79" s="96">
        <v>2748</v>
      </c>
      <c r="F79" s="234">
        <v>2763</v>
      </c>
      <c r="G79" s="234">
        <v>15</v>
      </c>
      <c r="H79" s="183">
        <v>0</v>
      </c>
      <c r="I79" s="178">
        <v>13500</v>
      </c>
      <c r="J79" s="178">
        <v>13500</v>
      </c>
      <c r="K79" s="266">
        <v>13500</v>
      </c>
      <c r="L79" s="1" t="s">
        <v>399</v>
      </c>
      <c r="M79" s="276">
        <v>0</v>
      </c>
    </row>
    <row r="80" spans="1:13" x14ac:dyDescent="0.25">
      <c r="A80" s="85">
        <f t="shared" si="2"/>
        <v>3</v>
      </c>
      <c r="B80" s="185" t="s">
        <v>105</v>
      </c>
      <c r="C80" s="58" t="s">
        <v>106</v>
      </c>
      <c r="D80" s="70" t="s">
        <v>335</v>
      </c>
      <c r="E80" s="96">
        <v>527</v>
      </c>
      <c r="F80" s="234">
        <v>542</v>
      </c>
      <c r="G80" s="234">
        <v>15</v>
      </c>
      <c r="H80" s="183">
        <v>0</v>
      </c>
      <c r="I80" s="178">
        <v>13500</v>
      </c>
      <c r="J80" s="178">
        <v>13500</v>
      </c>
      <c r="K80" s="266">
        <v>13500</v>
      </c>
      <c r="L80" s="1" t="s">
        <v>435</v>
      </c>
      <c r="M80" s="276">
        <v>0</v>
      </c>
    </row>
    <row r="81" spans="1:13" x14ac:dyDescent="0.25">
      <c r="A81" s="85">
        <f t="shared" si="2"/>
        <v>4</v>
      </c>
      <c r="B81" s="185" t="s">
        <v>107</v>
      </c>
      <c r="C81" s="58"/>
      <c r="D81" s="70" t="s">
        <v>335</v>
      </c>
      <c r="E81" s="96">
        <v>2662</v>
      </c>
      <c r="F81" s="234">
        <v>2664</v>
      </c>
      <c r="G81" s="234">
        <v>2</v>
      </c>
      <c r="H81" s="183">
        <v>115200</v>
      </c>
      <c r="I81" s="178">
        <v>4400</v>
      </c>
      <c r="J81" s="178">
        <v>119600</v>
      </c>
      <c r="K81" s="266"/>
      <c r="L81" s="1"/>
      <c r="M81" s="313">
        <v>119600</v>
      </c>
    </row>
    <row r="82" spans="1:13" x14ac:dyDescent="0.25">
      <c r="A82" s="85">
        <f t="shared" si="2"/>
        <v>5</v>
      </c>
      <c r="B82" s="179" t="s">
        <v>108</v>
      </c>
      <c r="C82" s="180" t="s">
        <v>111</v>
      </c>
      <c r="D82" s="181" t="s">
        <v>334</v>
      </c>
      <c r="E82" s="182">
        <v>22</v>
      </c>
      <c r="F82" s="241">
        <v>83</v>
      </c>
      <c r="G82" s="241">
        <v>61</v>
      </c>
      <c r="H82" s="183">
        <v>29110</v>
      </c>
      <c r="I82" s="178">
        <v>72650</v>
      </c>
      <c r="J82" s="178">
        <v>101750</v>
      </c>
      <c r="K82" s="266">
        <v>101750</v>
      </c>
      <c r="L82" s="1" t="s">
        <v>435</v>
      </c>
      <c r="M82" s="276">
        <v>0</v>
      </c>
    </row>
    <row r="83" spans="1:13" x14ac:dyDescent="0.25">
      <c r="A83" s="85">
        <f t="shared" si="2"/>
        <v>6</v>
      </c>
      <c r="B83" s="185" t="s">
        <v>109</v>
      </c>
      <c r="C83" s="58" t="s">
        <v>110</v>
      </c>
      <c r="D83" s="70" t="s">
        <v>334</v>
      </c>
      <c r="E83" s="96">
        <v>690</v>
      </c>
      <c r="F83" s="234">
        <v>690</v>
      </c>
      <c r="G83" s="234">
        <v>0</v>
      </c>
      <c r="H83" s="183">
        <v>23750</v>
      </c>
      <c r="I83" s="178">
        <v>3000</v>
      </c>
      <c r="J83" s="178">
        <v>31750</v>
      </c>
      <c r="K83" s="266">
        <v>31750</v>
      </c>
      <c r="L83" s="1" t="s">
        <v>435</v>
      </c>
      <c r="M83" s="276">
        <v>5000</v>
      </c>
    </row>
    <row r="84" spans="1:13" x14ac:dyDescent="0.25">
      <c r="A84" s="85">
        <f t="shared" si="2"/>
        <v>7</v>
      </c>
      <c r="B84" s="185" t="s">
        <v>112</v>
      </c>
      <c r="C84" s="58" t="s">
        <v>113</v>
      </c>
      <c r="D84" s="70" t="s">
        <v>335</v>
      </c>
      <c r="E84" s="96">
        <v>12</v>
      </c>
      <c r="F84" s="234">
        <v>13</v>
      </c>
      <c r="G84" s="234">
        <v>1</v>
      </c>
      <c r="H84" s="183">
        <v>17400</v>
      </c>
      <c r="I84" s="178">
        <v>3700</v>
      </c>
      <c r="J84" s="178">
        <v>21100</v>
      </c>
      <c r="K84" s="266"/>
      <c r="L84" s="1"/>
      <c r="M84" s="276">
        <v>21100</v>
      </c>
    </row>
    <row r="85" spans="1:13" x14ac:dyDescent="0.25">
      <c r="A85" s="85">
        <f t="shared" si="2"/>
        <v>8</v>
      </c>
      <c r="B85" s="185" t="s">
        <v>114</v>
      </c>
      <c r="C85" s="58" t="s">
        <v>115</v>
      </c>
      <c r="D85" s="70" t="s">
        <v>335</v>
      </c>
      <c r="E85" s="96">
        <v>411</v>
      </c>
      <c r="F85" s="234">
        <v>431</v>
      </c>
      <c r="G85" s="234">
        <v>20</v>
      </c>
      <c r="H85" s="183">
        <v>17700</v>
      </c>
      <c r="I85" s="178">
        <v>18750</v>
      </c>
      <c r="J85" s="178">
        <v>36450</v>
      </c>
      <c r="K85" s="266">
        <v>36450</v>
      </c>
      <c r="L85" s="1" t="s">
        <v>435</v>
      </c>
      <c r="M85" s="276">
        <v>0</v>
      </c>
    </row>
    <row r="86" spans="1:13" x14ac:dyDescent="0.25">
      <c r="A86" s="213">
        <f t="shared" si="2"/>
        <v>9</v>
      </c>
      <c r="B86" s="179" t="s">
        <v>116</v>
      </c>
      <c r="C86" s="180"/>
      <c r="D86" s="181" t="s">
        <v>334</v>
      </c>
      <c r="E86" s="182">
        <v>156</v>
      </c>
      <c r="F86" s="234">
        <v>166</v>
      </c>
      <c r="G86" s="234">
        <v>4</v>
      </c>
      <c r="H86" s="183">
        <v>0</v>
      </c>
      <c r="I86" s="254">
        <v>5800</v>
      </c>
      <c r="J86" s="254">
        <v>5800</v>
      </c>
      <c r="K86" s="266">
        <v>5800</v>
      </c>
      <c r="L86" s="1" t="s">
        <v>434</v>
      </c>
      <c r="M86" s="276">
        <v>0</v>
      </c>
    </row>
    <row r="87" spans="1:13" x14ac:dyDescent="0.25">
      <c r="A87" s="85">
        <f t="shared" si="2"/>
        <v>10</v>
      </c>
      <c r="B87" s="179" t="s">
        <v>117</v>
      </c>
      <c r="C87" s="180" t="s">
        <v>118</v>
      </c>
      <c r="D87" s="181" t="s">
        <v>335</v>
      </c>
      <c r="E87" s="182">
        <v>1379</v>
      </c>
      <c r="F87" s="241">
        <v>1453</v>
      </c>
      <c r="G87" s="234">
        <v>74</v>
      </c>
      <c r="H87" s="183">
        <v>11400</v>
      </c>
      <c r="I87" s="178">
        <v>90850</v>
      </c>
      <c r="J87" s="178">
        <v>117420</v>
      </c>
      <c r="K87" s="266">
        <v>117420</v>
      </c>
      <c r="L87" s="1" t="s">
        <v>399</v>
      </c>
      <c r="M87" s="276">
        <v>15170</v>
      </c>
    </row>
    <row r="88" spans="1:13" x14ac:dyDescent="0.25">
      <c r="A88" s="85">
        <f t="shared" si="2"/>
        <v>11</v>
      </c>
      <c r="B88" s="185" t="s">
        <v>119</v>
      </c>
      <c r="C88" s="58" t="s">
        <v>120</v>
      </c>
      <c r="D88" s="70" t="s">
        <v>335</v>
      </c>
      <c r="E88" s="96">
        <v>2938</v>
      </c>
      <c r="F88" s="234">
        <v>2966</v>
      </c>
      <c r="G88" s="234">
        <v>28</v>
      </c>
      <c r="H88" s="183">
        <v>18200</v>
      </c>
      <c r="I88" s="178">
        <v>27150</v>
      </c>
      <c r="J88" s="178">
        <v>45350</v>
      </c>
      <c r="K88" s="266"/>
      <c r="L88" s="1"/>
      <c r="M88" s="276">
        <v>45350</v>
      </c>
    </row>
    <row r="89" spans="1:13" x14ac:dyDescent="0.25">
      <c r="A89" s="85">
        <v>12</v>
      </c>
      <c r="B89" s="185" t="s">
        <v>428</v>
      </c>
      <c r="C89" s="58"/>
      <c r="D89" s="70"/>
      <c r="E89" s="96">
        <v>0</v>
      </c>
      <c r="F89" s="234">
        <v>0</v>
      </c>
      <c r="G89" s="234">
        <v>0</v>
      </c>
      <c r="H89" s="183">
        <v>6000</v>
      </c>
      <c r="I89" s="178">
        <v>3000</v>
      </c>
      <c r="J89" s="178">
        <v>9000</v>
      </c>
      <c r="K89" s="266">
        <v>9000</v>
      </c>
      <c r="L89" s="1" t="s">
        <v>434</v>
      </c>
      <c r="M89" s="276">
        <v>0</v>
      </c>
    </row>
    <row r="90" spans="1:13" x14ac:dyDescent="0.25">
      <c r="A90" s="85">
        <v>13</v>
      </c>
      <c r="B90" s="185" t="s">
        <v>121</v>
      </c>
      <c r="C90" s="58" t="s">
        <v>122</v>
      </c>
      <c r="D90" s="70" t="s">
        <v>335</v>
      </c>
      <c r="E90" s="96">
        <v>1975</v>
      </c>
      <c r="F90" s="234">
        <v>1975</v>
      </c>
      <c r="G90" s="234">
        <v>0</v>
      </c>
      <c r="H90" s="183">
        <v>46250</v>
      </c>
      <c r="I90" s="178">
        <v>3000</v>
      </c>
      <c r="J90" s="178">
        <v>49250</v>
      </c>
      <c r="K90" s="266"/>
      <c r="L90" s="1"/>
      <c r="M90" s="276">
        <v>49250</v>
      </c>
    </row>
    <row r="91" spans="1:13" x14ac:dyDescent="0.25">
      <c r="A91" s="85">
        <v>14</v>
      </c>
      <c r="B91" s="185" t="s">
        <v>123</v>
      </c>
      <c r="C91" s="58" t="s">
        <v>124</v>
      </c>
      <c r="D91" s="70" t="s">
        <v>335</v>
      </c>
      <c r="E91" s="96">
        <v>6150</v>
      </c>
      <c r="F91" s="234">
        <v>6150</v>
      </c>
      <c r="G91" s="234">
        <v>0</v>
      </c>
      <c r="H91" s="166"/>
      <c r="I91" s="178">
        <v>3000</v>
      </c>
      <c r="J91" s="178">
        <v>3000</v>
      </c>
      <c r="K91" s="266"/>
      <c r="L91" s="1"/>
      <c r="M91" s="276">
        <v>3000</v>
      </c>
    </row>
    <row r="92" spans="1:13" x14ac:dyDescent="0.25">
      <c r="A92" s="85">
        <v>15</v>
      </c>
      <c r="B92" s="185" t="s">
        <v>429</v>
      </c>
      <c r="C92" s="58"/>
      <c r="D92" s="70" t="s">
        <v>335</v>
      </c>
      <c r="E92" s="96">
        <v>21</v>
      </c>
      <c r="F92" s="234">
        <v>40</v>
      </c>
      <c r="G92" s="234">
        <v>19</v>
      </c>
      <c r="H92" s="183">
        <v>72220</v>
      </c>
      <c r="I92" s="178">
        <v>17700</v>
      </c>
      <c r="J92" s="178">
        <v>81040</v>
      </c>
      <c r="K92" s="266">
        <v>81040</v>
      </c>
      <c r="L92" s="1" t="s">
        <v>435</v>
      </c>
      <c r="M92" s="276">
        <v>13340</v>
      </c>
    </row>
    <row r="93" spans="1:13" x14ac:dyDescent="0.25">
      <c r="A93" s="85">
        <v>16</v>
      </c>
      <c r="B93" s="185" t="s">
        <v>125</v>
      </c>
      <c r="C93" s="58" t="s">
        <v>126</v>
      </c>
      <c r="D93" s="70" t="s">
        <v>335</v>
      </c>
      <c r="E93" s="96">
        <v>3125</v>
      </c>
      <c r="F93" s="234">
        <v>3137</v>
      </c>
      <c r="G93" s="234">
        <v>12</v>
      </c>
      <c r="H93" s="183">
        <v>25200</v>
      </c>
      <c r="I93" s="178">
        <v>11400</v>
      </c>
      <c r="J93" s="178">
        <v>36600</v>
      </c>
      <c r="K93" s="266">
        <v>37000</v>
      </c>
      <c r="L93" s="1" t="s">
        <v>435</v>
      </c>
      <c r="M93" s="325">
        <v>400</v>
      </c>
    </row>
    <row r="94" spans="1:13" x14ac:dyDescent="0.25">
      <c r="A94" s="85">
        <v>17</v>
      </c>
      <c r="B94" s="185" t="s">
        <v>127</v>
      </c>
      <c r="C94" s="58" t="s">
        <v>128</v>
      </c>
      <c r="D94" s="70" t="s">
        <v>335</v>
      </c>
      <c r="E94" s="96">
        <v>1768</v>
      </c>
      <c r="F94" s="234">
        <v>1769</v>
      </c>
      <c r="G94" s="234">
        <v>1</v>
      </c>
      <c r="H94" s="183">
        <v>0</v>
      </c>
      <c r="I94" s="178">
        <v>3700</v>
      </c>
      <c r="J94" s="178">
        <v>3700</v>
      </c>
      <c r="K94" s="266">
        <v>3700</v>
      </c>
      <c r="L94" s="1" t="s">
        <v>435</v>
      </c>
      <c r="M94" s="276">
        <v>0</v>
      </c>
    </row>
    <row r="95" spans="1:13" x14ac:dyDescent="0.25">
      <c r="A95" s="85">
        <v>18</v>
      </c>
      <c r="B95" s="185" t="s">
        <v>129</v>
      </c>
      <c r="C95" s="58" t="s">
        <v>130</v>
      </c>
      <c r="D95" s="70" t="s">
        <v>335</v>
      </c>
      <c r="E95" s="96">
        <v>2416</v>
      </c>
      <c r="F95" s="234">
        <v>2426</v>
      </c>
      <c r="G95" s="234">
        <v>10</v>
      </c>
      <c r="H95" s="183">
        <v>0</v>
      </c>
      <c r="I95" s="178">
        <v>10000</v>
      </c>
      <c r="J95" s="178">
        <v>10000</v>
      </c>
      <c r="K95" s="266">
        <v>10000</v>
      </c>
      <c r="L95" s="1" t="s">
        <v>435</v>
      </c>
      <c r="M95" s="276">
        <v>17340</v>
      </c>
    </row>
    <row r="96" spans="1:13" x14ac:dyDescent="0.25">
      <c r="A96" s="85">
        <v>19</v>
      </c>
      <c r="B96" s="185" t="s">
        <v>131</v>
      </c>
      <c r="C96" s="58" t="s">
        <v>132</v>
      </c>
      <c r="D96" s="70" t="s">
        <v>335</v>
      </c>
      <c r="E96" s="96">
        <v>185</v>
      </c>
      <c r="F96" s="234">
        <v>189</v>
      </c>
      <c r="G96" s="234">
        <v>4</v>
      </c>
      <c r="H96" s="183">
        <v>28000</v>
      </c>
      <c r="I96" s="178">
        <v>5800</v>
      </c>
      <c r="J96" s="178">
        <v>33800</v>
      </c>
      <c r="K96" s="266">
        <v>33800</v>
      </c>
      <c r="L96" s="1" t="s">
        <v>435</v>
      </c>
      <c r="M96" s="276">
        <v>0</v>
      </c>
    </row>
    <row r="97" spans="1:14" x14ac:dyDescent="0.25">
      <c r="A97" s="213">
        <v>20</v>
      </c>
      <c r="B97" s="179" t="s">
        <v>133</v>
      </c>
      <c r="C97" s="180" t="s">
        <v>134</v>
      </c>
      <c r="D97" s="181" t="s">
        <v>335</v>
      </c>
      <c r="E97" s="182">
        <v>1540</v>
      </c>
      <c r="F97" s="241">
        <v>1540</v>
      </c>
      <c r="G97" s="241">
        <v>0</v>
      </c>
      <c r="H97" s="232">
        <v>0</v>
      </c>
      <c r="I97" s="268">
        <v>3000</v>
      </c>
      <c r="J97" s="268">
        <v>3000</v>
      </c>
      <c r="K97" s="303">
        <v>3000</v>
      </c>
      <c r="L97" s="185" t="s">
        <v>399</v>
      </c>
      <c r="M97" s="312">
        <v>0</v>
      </c>
    </row>
    <row r="98" spans="1:14" x14ac:dyDescent="0.25">
      <c r="A98" s="85">
        <v>21</v>
      </c>
      <c r="B98" s="185" t="s">
        <v>135</v>
      </c>
      <c r="C98" s="58" t="s">
        <v>136</v>
      </c>
      <c r="D98" s="70" t="s">
        <v>335</v>
      </c>
      <c r="E98" s="96">
        <v>418</v>
      </c>
      <c r="F98" s="234">
        <v>418</v>
      </c>
      <c r="G98" s="234">
        <v>0</v>
      </c>
      <c r="H98" s="183">
        <v>92250</v>
      </c>
      <c r="I98" s="178">
        <v>3000</v>
      </c>
      <c r="J98" s="178">
        <v>95250</v>
      </c>
      <c r="K98" s="266"/>
      <c r="L98" s="1"/>
      <c r="M98" s="276">
        <v>95250</v>
      </c>
    </row>
    <row r="99" spans="1:14" x14ac:dyDescent="0.25">
      <c r="A99" s="213">
        <v>22</v>
      </c>
      <c r="B99" s="179" t="s">
        <v>137</v>
      </c>
      <c r="C99" s="180" t="s">
        <v>138</v>
      </c>
      <c r="D99" s="181" t="s">
        <v>335</v>
      </c>
      <c r="E99" s="182">
        <v>2355</v>
      </c>
      <c r="F99" s="241">
        <v>2466</v>
      </c>
      <c r="G99" s="267">
        <v>11</v>
      </c>
      <c r="H99" s="232">
        <v>13340</v>
      </c>
      <c r="I99" s="268">
        <v>10700</v>
      </c>
      <c r="J99" s="268">
        <v>24040</v>
      </c>
      <c r="K99" s="274"/>
      <c r="L99" s="248"/>
      <c r="M99" s="310">
        <v>37380</v>
      </c>
    </row>
    <row r="100" spans="1:14" x14ac:dyDescent="0.25">
      <c r="A100" s="85">
        <v>23</v>
      </c>
      <c r="B100" s="185" t="s">
        <v>139</v>
      </c>
      <c r="C100" s="58" t="s">
        <v>140</v>
      </c>
      <c r="D100" s="70" t="s">
        <v>335</v>
      </c>
      <c r="E100" s="96">
        <v>7</v>
      </c>
      <c r="F100" s="234">
        <v>12</v>
      </c>
      <c r="G100" s="234">
        <v>5</v>
      </c>
      <c r="H100" s="183">
        <v>11200</v>
      </c>
      <c r="I100" s="178">
        <v>6500</v>
      </c>
      <c r="J100" s="178">
        <v>17700</v>
      </c>
      <c r="K100" s="266">
        <v>17200</v>
      </c>
      <c r="L100" s="1" t="s">
        <v>435</v>
      </c>
      <c r="M100" s="276">
        <v>11200</v>
      </c>
    </row>
    <row r="101" spans="1:14" x14ac:dyDescent="0.25">
      <c r="A101" s="85">
        <v>24</v>
      </c>
      <c r="B101" s="185" t="s">
        <v>141</v>
      </c>
      <c r="C101" s="58" t="s">
        <v>142</v>
      </c>
      <c r="D101" s="70" t="s">
        <v>335</v>
      </c>
      <c r="E101" s="96">
        <v>2</v>
      </c>
      <c r="F101" s="234">
        <v>15</v>
      </c>
      <c r="G101" s="234">
        <v>13</v>
      </c>
      <c r="H101" s="183">
        <v>0</v>
      </c>
      <c r="I101" s="178">
        <v>12100</v>
      </c>
      <c r="J101" s="178">
        <v>12100</v>
      </c>
      <c r="K101" s="266">
        <v>12100</v>
      </c>
      <c r="L101" s="1" t="s">
        <v>434</v>
      </c>
      <c r="M101" s="276">
        <v>0</v>
      </c>
    </row>
    <row r="102" spans="1:14" x14ac:dyDescent="0.25">
      <c r="A102" s="85">
        <v>25</v>
      </c>
      <c r="B102" s="185" t="s">
        <v>143</v>
      </c>
      <c r="C102" s="58" t="s">
        <v>144</v>
      </c>
      <c r="D102" s="70" t="s">
        <v>335</v>
      </c>
      <c r="E102" s="96">
        <v>0</v>
      </c>
      <c r="F102" s="234">
        <v>0</v>
      </c>
      <c r="G102" s="234">
        <v>0</v>
      </c>
      <c r="H102" s="183">
        <v>0</v>
      </c>
      <c r="I102" s="178">
        <v>3000</v>
      </c>
      <c r="J102" s="178">
        <v>3000</v>
      </c>
      <c r="K102" s="266">
        <v>3000</v>
      </c>
      <c r="L102" s="1" t="s">
        <v>435</v>
      </c>
      <c r="M102" s="276">
        <v>0</v>
      </c>
    </row>
    <row r="103" spans="1:14" x14ac:dyDescent="0.25">
      <c r="A103" s="159">
        <v>26</v>
      </c>
      <c r="B103" s="184" t="s">
        <v>145</v>
      </c>
      <c r="C103" s="153" t="s">
        <v>146</v>
      </c>
      <c r="D103" s="154" t="s">
        <v>335</v>
      </c>
      <c r="E103" s="155">
        <v>2368</v>
      </c>
      <c r="F103" s="242">
        <v>2385</v>
      </c>
      <c r="G103" s="242">
        <v>17</v>
      </c>
      <c r="H103" s="164">
        <v>0</v>
      </c>
      <c r="I103" s="176">
        <v>8550</v>
      </c>
      <c r="J103" s="176">
        <v>8550</v>
      </c>
      <c r="K103" s="271">
        <v>8550</v>
      </c>
      <c r="L103" s="160" t="s">
        <v>435</v>
      </c>
      <c r="M103" s="271">
        <v>0</v>
      </c>
    </row>
    <row r="104" spans="1:14" x14ac:dyDescent="0.25">
      <c r="A104" s="159">
        <v>27</v>
      </c>
      <c r="B104" s="184" t="s">
        <v>147</v>
      </c>
      <c r="C104" s="153" t="s">
        <v>148</v>
      </c>
      <c r="D104" s="154" t="s">
        <v>335</v>
      </c>
      <c r="E104" s="155">
        <v>2199</v>
      </c>
      <c r="F104" s="242">
        <v>2218</v>
      </c>
      <c r="G104" s="242">
        <v>19</v>
      </c>
      <c r="H104" s="164">
        <v>0</v>
      </c>
      <c r="I104" s="176">
        <v>10950</v>
      </c>
      <c r="J104" s="176">
        <v>10950</v>
      </c>
      <c r="K104" s="271">
        <v>10950</v>
      </c>
      <c r="L104" s="160" t="s">
        <v>435</v>
      </c>
      <c r="M104" s="271">
        <v>0</v>
      </c>
    </row>
    <row r="105" spans="1:14" x14ac:dyDescent="0.25">
      <c r="A105" s="85">
        <v>28</v>
      </c>
      <c r="B105" s="185" t="s">
        <v>149</v>
      </c>
      <c r="C105" s="58" t="s">
        <v>150</v>
      </c>
      <c r="D105" s="70" t="s">
        <v>335</v>
      </c>
      <c r="E105" s="96">
        <v>101</v>
      </c>
      <c r="F105" s="234">
        <v>123</v>
      </c>
      <c r="G105" s="234">
        <v>22</v>
      </c>
      <c r="H105" s="183">
        <v>0</v>
      </c>
      <c r="I105" s="178">
        <v>20850</v>
      </c>
      <c r="J105" s="178">
        <v>20850</v>
      </c>
      <c r="K105" s="266">
        <v>20850</v>
      </c>
      <c r="L105" s="1" t="s">
        <v>435</v>
      </c>
      <c r="M105" s="276">
        <v>0</v>
      </c>
    </row>
    <row r="106" spans="1:14" x14ac:dyDescent="0.25">
      <c r="A106" s="85">
        <v>29</v>
      </c>
      <c r="B106" s="185" t="s">
        <v>151</v>
      </c>
      <c r="C106" s="58" t="s">
        <v>152</v>
      </c>
      <c r="D106" s="70" t="s">
        <v>335</v>
      </c>
      <c r="E106" s="96">
        <v>868</v>
      </c>
      <c r="F106" s="234">
        <v>884</v>
      </c>
      <c r="G106" s="234">
        <v>16</v>
      </c>
      <c r="H106" s="183">
        <v>9500</v>
      </c>
      <c r="I106" s="178">
        <v>14450</v>
      </c>
      <c r="J106" s="178">
        <v>23950</v>
      </c>
      <c r="K106" s="266">
        <v>23950</v>
      </c>
      <c r="L106" s="1" t="s">
        <v>435</v>
      </c>
      <c r="M106" s="276">
        <v>0</v>
      </c>
    </row>
    <row r="107" spans="1:14" x14ac:dyDescent="0.25">
      <c r="A107" s="85">
        <v>30</v>
      </c>
      <c r="B107" s="185" t="s">
        <v>153</v>
      </c>
      <c r="C107" s="58" t="s">
        <v>154</v>
      </c>
      <c r="D107" s="70" t="s">
        <v>335</v>
      </c>
      <c r="E107" s="96">
        <v>227</v>
      </c>
      <c r="F107" s="234">
        <v>229</v>
      </c>
      <c r="G107" s="234">
        <v>2</v>
      </c>
      <c r="H107" s="183">
        <v>0</v>
      </c>
      <c r="I107" s="178">
        <v>4400</v>
      </c>
      <c r="J107" s="178">
        <v>4400</v>
      </c>
      <c r="K107" s="266">
        <v>4400</v>
      </c>
      <c r="L107" s="1" t="s">
        <v>435</v>
      </c>
      <c r="M107" s="276">
        <v>0</v>
      </c>
    </row>
    <row r="108" spans="1:14" x14ac:dyDescent="0.25">
      <c r="A108" s="85">
        <v>31</v>
      </c>
      <c r="B108" s="185" t="s">
        <v>155</v>
      </c>
      <c r="C108" s="58" t="s">
        <v>156</v>
      </c>
      <c r="D108" s="70" t="s">
        <v>335</v>
      </c>
      <c r="E108" s="96">
        <v>3</v>
      </c>
      <c r="F108" s="234">
        <v>10</v>
      </c>
      <c r="G108" s="234">
        <v>7</v>
      </c>
      <c r="H108" s="183">
        <v>0</v>
      </c>
      <c r="I108" s="178">
        <v>7900</v>
      </c>
      <c r="J108" s="178">
        <v>7900</v>
      </c>
      <c r="K108" s="266">
        <v>7900</v>
      </c>
      <c r="L108" s="1" t="s">
        <v>399</v>
      </c>
      <c r="M108" s="276">
        <v>0</v>
      </c>
    </row>
    <row r="109" spans="1:14" x14ac:dyDescent="0.25">
      <c r="A109" s="85">
        <v>32</v>
      </c>
      <c r="B109" s="185" t="s">
        <v>157</v>
      </c>
      <c r="C109" s="58" t="s">
        <v>158</v>
      </c>
      <c r="D109" s="70" t="s">
        <v>335</v>
      </c>
      <c r="E109" s="96">
        <v>1170</v>
      </c>
      <c r="F109" s="234">
        <v>1178</v>
      </c>
      <c r="G109" s="234">
        <v>8</v>
      </c>
      <c r="H109" s="192">
        <v>8600</v>
      </c>
      <c r="I109" s="178">
        <v>8600</v>
      </c>
      <c r="J109" s="178">
        <v>0</v>
      </c>
      <c r="K109" s="266">
        <v>0</v>
      </c>
      <c r="L109" s="1"/>
      <c r="M109" s="276">
        <v>0</v>
      </c>
    </row>
    <row r="110" spans="1:14" x14ac:dyDescent="0.25">
      <c r="A110" s="85">
        <v>33</v>
      </c>
      <c r="B110" s="185" t="s">
        <v>159</v>
      </c>
      <c r="C110" s="58" t="s">
        <v>160</v>
      </c>
      <c r="D110" s="70" t="s">
        <v>335</v>
      </c>
      <c r="E110" s="96">
        <v>1397</v>
      </c>
      <c r="F110" s="234">
        <v>1403</v>
      </c>
      <c r="G110" s="234">
        <v>6</v>
      </c>
      <c r="H110" s="183">
        <v>0</v>
      </c>
      <c r="I110" s="178">
        <v>7200</v>
      </c>
      <c r="J110" s="178">
        <v>7200</v>
      </c>
      <c r="K110" s="266">
        <v>7200</v>
      </c>
      <c r="L110" s="1" t="s">
        <v>399</v>
      </c>
      <c r="M110" s="276">
        <v>0</v>
      </c>
    </row>
    <row r="111" spans="1:14" x14ac:dyDescent="0.25">
      <c r="A111" s="213">
        <v>34</v>
      </c>
      <c r="B111" s="179" t="s">
        <v>161</v>
      </c>
      <c r="C111" s="180" t="s">
        <v>162</v>
      </c>
      <c r="D111" s="181" t="s">
        <v>335</v>
      </c>
      <c r="E111" s="182">
        <v>1266</v>
      </c>
      <c r="F111" s="241">
        <v>1266</v>
      </c>
      <c r="G111" s="241">
        <v>0</v>
      </c>
      <c r="H111" s="193">
        <v>0</v>
      </c>
      <c r="I111" s="218">
        <v>3000</v>
      </c>
      <c r="J111" s="218">
        <v>3000</v>
      </c>
      <c r="K111" s="273"/>
      <c r="L111" s="179"/>
      <c r="M111" s="313">
        <v>3000</v>
      </c>
      <c r="N111" t="s">
        <v>455</v>
      </c>
    </row>
    <row r="112" spans="1:14" x14ac:dyDescent="0.25">
      <c r="A112" s="159">
        <v>35</v>
      </c>
      <c r="B112" s="299" t="s">
        <v>163</v>
      </c>
      <c r="C112" s="300" t="s">
        <v>164</v>
      </c>
      <c r="D112" s="301" t="s">
        <v>335</v>
      </c>
      <c r="E112" s="302">
        <v>2507</v>
      </c>
      <c r="F112" s="298">
        <v>2520</v>
      </c>
      <c r="G112" s="242">
        <v>13</v>
      </c>
      <c r="H112" s="164">
        <v>19998</v>
      </c>
      <c r="I112" s="176">
        <v>6050</v>
      </c>
      <c r="J112" s="176">
        <v>26048</v>
      </c>
      <c r="K112" s="271">
        <v>26048</v>
      </c>
      <c r="L112" s="160" t="s">
        <v>399</v>
      </c>
      <c r="M112" s="164">
        <v>19998</v>
      </c>
    </row>
    <row r="113" spans="1:13" x14ac:dyDescent="0.25">
      <c r="A113" s="85">
        <v>36</v>
      </c>
      <c r="B113" s="185" t="s">
        <v>165</v>
      </c>
      <c r="C113" s="58" t="s">
        <v>166</v>
      </c>
      <c r="D113" s="70" t="s">
        <v>335</v>
      </c>
      <c r="E113" s="96">
        <v>1149</v>
      </c>
      <c r="F113" s="234">
        <v>1160</v>
      </c>
      <c r="G113" s="234">
        <v>11</v>
      </c>
      <c r="H113" s="183">
        <v>4800</v>
      </c>
      <c r="I113" s="178">
        <v>10700</v>
      </c>
      <c r="J113" s="178">
        <v>15500</v>
      </c>
      <c r="K113" s="266">
        <v>15500</v>
      </c>
      <c r="L113" s="1" t="s">
        <v>399</v>
      </c>
      <c r="M113" s="276">
        <v>0</v>
      </c>
    </row>
    <row r="114" spans="1:13" x14ac:dyDescent="0.25">
      <c r="A114" s="85">
        <v>37</v>
      </c>
      <c r="B114" s="185" t="s">
        <v>167</v>
      </c>
      <c r="C114" s="58" t="s">
        <v>168</v>
      </c>
      <c r="D114" s="70" t="s">
        <v>335</v>
      </c>
      <c r="E114" s="96">
        <v>103</v>
      </c>
      <c r="F114" s="234">
        <v>103</v>
      </c>
      <c r="G114" s="234">
        <v>0</v>
      </c>
      <c r="H114" s="183">
        <v>0</v>
      </c>
      <c r="I114" s="178">
        <v>3000</v>
      </c>
      <c r="J114" s="178">
        <v>3000</v>
      </c>
      <c r="K114" s="266"/>
      <c r="L114" s="1"/>
      <c r="M114" s="276">
        <v>3000</v>
      </c>
    </row>
    <row r="115" spans="1:13" x14ac:dyDescent="0.25">
      <c r="A115" s="85">
        <v>38</v>
      </c>
      <c r="B115" s="185" t="s">
        <v>169</v>
      </c>
      <c r="C115" s="58" t="s">
        <v>170</v>
      </c>
      <c r="D115" s="70" t="s">
        <v>335</v>
      </c>
      <c r="E115" s="96">
        <v>2712</v>
      </c>
      <c r="F115" s="234">
        <v>2731</v>
      </c>
      <c r="G115" s="234">
        <v>19</v>
      </c>
      <c r="H115" s="183">
        <v>87810</v>
      </c>
      <c r="I115" s="178">
        <v>17700</v>
      </c>
      <c r="J115" s="178">
        <v>105510</v>
      </c>
      <c r="K115" s="266">
        <v>40000</v>
      </c>
      <c r="L115" s="1" t="s">
        <v>435</v>
      </c>
      <c r="M115" s="276">
        <v>65510</v>
      </c>
    </row>
    <row r="116" spans="1:13" x14ac:dyDescent="0.25">
      <c r="A116" s="159">
        <v>39</v>
      </c>
      <c r="B116" s="206" t="s">
        <v>171</v>
      </c>
      <c r="C116" s="220" t="s">
        <v>172</v>
      </c>
      <c r="D116" s="208" t="s">
        <v>335</v>
      </c>
      <c r="E116" s="209">
        <v>4340</v>
      </c>
      <c r="F116" s="240">
        <v>4481</v>
      </c>
      <c r="G116" s="242">
        <v>41</v>
      </c>
      <c r="H116" s="271">
        <v>53400</v>
      </c>
      <c r="I116" s="176">
        <v>37900</v>
      </c>
      <c r="J116" s="176">
        <v>91300</v>
      </c>
      <c r="K116" s="271">
        <v>91300</v>
      </c>
      <c r="L116" s="160" t="s">
        <v>435</v>
      </c>
      <c r="M116" s="271">
        <v>0</v>
      </c>
    </row>
    <row r="117" spans="1:13" x14ac:dyDescent="0.25">
      <c r="A117" s="85">
        <v>40</v>
      </c>
      <c r="B117" s="179" t="s">
        <v>371</v>
      </c>
      <c r="C117" s="180" t="s">
        <v>174</v>
      </c>
      <c r="D117" s="181" t="s">
        <v>335</v>
      </c>
      <c r="E117" s="182">
        <v>4643</v>
      </c>
      <c r="F117" s="234">
        <v>4643</v>
      </c>
      <c r="G117" s="234">
        <v>0</v>
      </c>
      <c r="H117" s="183">
        <v>0</v>
      </c>
      <c r="I117" s="178">
        <v>3000</v>
      </c>
      <c r="J117" s="178">
        <v>3000</v>
      </c>
      <c r="K117" s="266"/>
      <c r="L117" s="1"/>
      <c r="M117" s="276">
        <v>3000</v>
      </c>
    </row>
    <row r="118" spans="1:13" x14ac:dyDescent="0.25">
      <c r="A118" s="85">
        <v>41</v>
      </c>
      <c r="B118" s="185" t="s">
        <v>175</v>
      </c>
      <c r="C118" s="58" t="s">
        <v>176</v>
      </c>
      <c r="D118" s="70" t="s">
        <v>335</v>
      </c>
      <c r="E118" s="96">
        <v>1128</v>
      </c>
      <c r="F118" s="234">
        <v>1131</v>
      </c>
      <c r="G118" s="234">
        <v>3</v>
      </c>
      <c r="H118" s="183">
        <v>0</v>
      </c>
      <c r="I118" s="178">
        <v>5100</v>
      </c>
      <c r="J118" s="178">
        <v>5100</v>
      </c>
      <c r="K118" s="266">
        <v>5100</v>
      </c>
      <c r="L118" s="1" t="s">
        <v>435</v>
      </c>
      <c r="M118" s="276">
        <v>0</v>
      </c>
    </row>
    <row r="119" spans="1:13" x14ac:dyDescent="0.25">
      <c r="A119" s="85">
        <v>42</v>
      </c>
      <c r="B119" s="185" t="s">
        <v>441</v>
      </c>
      <c r="C119" s="58" t="s">
        <v>178</v>
      </c>
      <c r="D119" s="70" t="s">
        <v>335</v>
      </c>
      <c r="E119" s="96">
        <v>89</v>
      </c>
      <c r="F119" s="234">
        <v>90</v>
      </c>
      <c r="G119" s="234">
        <v>1</v>
      </c>
      <c r="H119" s="183">
        <v>0</v>
      </c>
      <c r="I119" s="178">
        <v>3700</v>
      </c>
      <c r="J119" s="178">
        <v>3700</v>
      </c>
      <c r="K119" s="266"/>
      <c r="L119" s="1"/>
      <c r="M119" s="276">
        <v>3700</v>
      </c>
    </row>
    <row r="120" spans="1:13" x14ac:dyDescent="0.25">
      <c r="A120" s="118">
        <v>43</v>
      </c>
      <c r="B120" s="186" t="s">
        <v>179</v>
      </c>
      <c r="C120" s="137" t="s">
        <v>180</v>
      </c>
      <c r="D120" s="117" t="s">
        <v>335</v>
      </c>
      <c r="E120" s="96">
        <v>1931</v>
      </c>
      <c r="F120" s="234">
        <v>1957</v>
      </c>
      <c r="G120" s="234">
        <v>26</v>
      </c>
      <c r="H120" s="183">
        <v>9100</v>
      </c>
      <c r="I120" s="178">
        <v>25050</v>
      </c>
      <c r="J120" s="178">
        <v>34150</v>
      </c>
      <c r="K120" s="266">
        <v>34150</v>
      </c>
      <c r="L120" s="1" t="s">
        <v>435</v>
      </c>
      <c r="M120" s="276">
        <v>9100</v>
      </c>
    </row>
    <row r="121" spans="1:13" x14ac:dyDescent="0.25">
      <c r="A121" s="85">
        <v>44</v>
      </c>
      <c r="B121" s="179" t="s">
        <v>181</v>
      </c>
      <c r="C121" s="180" t="s">
        <v>182</v>
      </c>
      <c r="D121" s="181" t="s">
        <v>335</v>
      </c>
      <c r="E121" s="182">
        <v>121</v>
      </c>
      <c r="F121" s="241">
        <v>275</v>
      </c>
      <c r="G121" s="241">
        <v>154</v>
      </c>
      <c r="H121" s="193">
        <v>0</v>
      </c>
      <c r="I121" s="218">
        <v>202850</v>
      </c>
      <c r="J121" s="218">
        <v>202850</v>
      </c>
      <c r="K121" s="266">
        <v>202850</v>
      </c>
      <c r="L121" s="1" t="s">
        <v>435</v>
      </c>
      <c r="M121" s="276">
        <v>0</v>
      </c>
    </row>
    <row r="122" spans="1:13" x14ac:dyDescent="0.25">
      <c r="A122" s="85">
        <v>45</v>
      </c>
      <c r="B122" s="185" t="s">
        <v>183</v>
      </c>
      <c r="C122" s="58" t="s">
        <v>184</v>
      </c>
      <c r="D122" s="70" t="s">
        <v>335</v>
      </c>
      <c r="E122" s="96">
        <v>320</v>
      </c>
      <c r="F122" s="234">
        <v>320</v>
      </c>
      <c r="G122" s="234">
        <v>0</v>
      </c>
      <c r="H122" s="183">
        <v>10000</v>
      </c>
      <c r="I122" s="178">
        <v>3000</v>
      </c>
      <c r="J122" s="178">
        <v>13000</v>
      </c>
      <c r="K122" s="266">
        <v>13000</v>
      </c>
      <c r="L122" s="1" t="s">
        <v>435</v>
      </c>
      <c r="M122" s="276">
        <v>0</v>
      </c>
    </row>
    <row r="123" spans="1:13" x14ac:dyDescent="0.25">
      <c r="A123" s="85">
        <v>46</v>
      </c>
      <c r="B123" s="185" t="s">
        <v>185</v>
      </c>
      <c r="C123" s="58" t="s">
        <v>186</v>
      </c>
      <c r="D123" s="70" t="s">
        <v>335</v>
      </c>
      <c r="E123" s="96">
        <v>2400</v>
      </c>
      <c r="F123" s="234">
        <v>2410</v>
      </c>
      <c r="G123" s="234">
        <v>10</v>
      </c>
      <c r="H123" s="183">
        <v>49750</v>
      </c>
      <c r="I123" s="178">
        <v>10000</v>
      </c>
      <c r="J123" s="178">
        <v>59750</v>
      </c>
      <c r="K123" s="266">
        <v>59750</v>
      </c>
      <c r="L123" s="1" t="s">
        <v>399</v>
      </c>
      <c r="M123" s="276">
        <v>0</v>
      </c>
    </row>
    <row r="124" spans="1:13" x14ac:dyDescent="0.25">
      <c r="A124" s="213">
        <v>47</v>
      </c>
      <c r="B124" s="179" t="s">
        <v>187</v>
      </c>
      <c r="C124" s="180" t="s">
        <v>188</v>
      </c>
      <c r="D124" s="181" t="s">
        <v>335</v>
      </c>
      <c r="E124" s="182">
        <v>4023</v>
      </c>
      <c r="F124" s="234">
        <v>4066</v>
      </c>
      <c r="G124" s="234">
        <v>43</v>
      </c>
      <c r="H124" s="231">
        <v>7590</v>
      </c>
      <c r="I124" s="178">
        <v>47450</v>
      </c>
      <c r="J124" s="178">
        <v>55040</v>
      </c>
      <c r="K124" s="266">
        <v>55040</v>
      </c>
      <c r="L124" s="1" t="s">
        <v>435</v>
      </c>
      <c r="M124" s="312">
        <v>7590</v>
      </c>
    </row>
    <row r="125" spans="1:13" x14ac:dyDescent="0.25">
      <c r="A125" s="85">
        <v>48</v>
      </c>
      <c r="B125" s="185" t="s">
        <v>189</v>
      </c>
      <c r="C125" s="58" t="s">
        <v>190</v>
      </c>
      <c r="D125" s="70" t="s">
        <v>335</v>
      </c>
      <c r="E125" s="96">
        <v>1</v>
      </c>
      <c r="F125" s="234">
        <v>2</v>
      </c>
      <c r="G125" s="234">
        <v>1</v>
      </c>
      <c r="H125" s="183">
        <v>0</v>
      </c>
      <c r="I125" s="178">
        <v>3700</v>
      </c>
      <c r="J125" s="178">
        <v>3700</v>
      </c>
      <c r="K125" s="266"/>
      <c r="L125" s="1"/>
      <c r="M125" s="276">
        <v>3700</v>
      </c>
    </row>
    <row r="126" spans="1:13" x14ac:dyDescent="0.25">
      <c r="A126" s="159">
        <v>49</v>
      </c>
      <c r="B126" s="184" t="s">
        <v>191</v>
      </c>
      <c r="C126" s="153" t="s">
        <v>192</v>
      </c>
      <c r="D126" s="154" t="s">
        <v>335</v>
      </c>
      <c r="E126" s="155">
        <v>2628</v>
      </c>
      <c r="F126" s="242">
        <v>2648</v>
      </c>
      <c r="G126" s="242">
        <v>20</v>
      </c>
      <c r="H126" s="164">
        <v>11800</v>
      </c>
      <c r="I126" s="176">
        <v>12000</v>
      </c>
      <c r="J126" s="176">
        <v>23800</v>
      </c>
      <c r="K126" s="271">
        <v>23800</v>
      </c>
      <c r="L126" s="160" t="s">
        <v>435</v>
      </c>
      <c r="M126" s="164">
        <v>11800</v>
      </c>
    </row>
    <row r="127" spans="1:13" x14ac:dyDescent="0.25">
      <c r="A127" s="85">
        <v>50</v>
      </c>
      <c r="B127" s="179" t="s">
        <v>193</v>
      </c>
      <c r="C127" s="180" t="s">
        <v>194</v>
      </c>
      <c r="D127" s="181" t="s">
        <v>335</v>
      </c>
      <c r="E127" s="182">
        <v>3275</v>
      </c>
      <c r="F127" s="241">
        <v>3308</v>
      </c>
      <c r="G127" s="234"/>
      <c r="H127" s="183">
        <v>0</v>
      </c>
      <c r="I127" s="178">
        <v>3000</v>
      </c>
      <c r="J127" s="178"/>
      <c r="K127" s="266"/>
      <c r="L127" s="1"/>
      <c r="M127" s="276">
        <v>3000</v>
      </c>
    </row>
    <row r="128" spans="1:13" x14ac:dyDescent="0.25">
      <c r="A128" s="159">
        <v>51</v>
      </c>
      <c r="B128" s="184" t="s">
        <v>195</v>
      </c>
      <c r="C128" s="153" t="s">
        <v>196</v>
      </c>
      <c r="D128" s="154" t="s">
        <v>335</v>
      </c>
      <c r="E128" s="155">
        <v>2632</v>
      </c>
      <c r="F128" s="242">
        <v>2641</v>
      </c>
      <c r="G128" s="242">
        <v>9</v>
      </c>
      <c r="H128" s="164">
        <v>0</v>
      </c>
      <c r="I128" s="176">
        <v>4650</v>
      </c>
      <c r="J128" s="176">
        <v>4650</v>
      </c>
      <c r="K128" s="271">
        <v>4650</v>
      </c>
      <c r="L128" s="160" t="s">
        <v>435</v>
      </c>
      <c r="M128" s="271">
        <v>0</v>
      </c>
    </row>
    <row r="129" spans="1:13 16384:16384" x14ac:dyDescent="0.25">
      <c r="A129" s="247">
        <v>52</v>
      </c>
      <c r="B129" s="248" t="s">
        <v>361</v>
      </c>
      <c r="C129" s="249" t="s">
        <v>198</v>
      </c>
      <c r="D129" s="250" t="s">
        <v>335</v>
      </c>
      <c r="E129" s="251">
        <v>1545</v>
      </c>
      <c r="F129" s="234">
        <v>1581</v>
      </c>
      <c r="G129" s="234">
        <v>36</v>
      </c>
      <c r="H129" s="183">
        <v>44200</v>
      </c>
      <c r="I129" s="178">
        <v>37650</v>
      </c>
      <c r="J129" s="178">
        <v>81850</v>
      </c>
      <c r="K129" s="266">
        <v>81850</v>
      </c>
      <c r="L129" s="1" t="s">
        <v>435</v>
      </c>
      <c r="M129" s="276">
        <v>0</v>
      </c>
    </row>
    <row r="130" spans="1:13 16384:16384" x14ac:dyDescent="0.25">
      <c r="A130" s="85">
        <v>53</v>
      </c>
      <c r="B130" s="185" t="s">
        <v>199</v>
      </c>
      <c r="C130" s="58" t="s">
        <v>200</v>
      </c>
      <c r="D130" s="70" t="s">
        <v>335</v>
      </c>
      <c r="E130" s="96">
        <v>1401</v>
      </c>
      <c r="F130" s="234">
        <v>1413</v>
      </c>
      <c r="G130" s="234">
        <v>12</v>
      </c>
      <c r="H130" s="183">
        <v>11600</v>
      </c>
      <c r="I130" s="178">
        <v>11400</v>
      </c>
      <c r="J130" s="178">
        <v>23000</v>
      </c>
      <c r="K130" s="266">
        <v>23000</v>
      </c>
      <c r="L130" s="1" t="s">
        <v>435</v>
      </c>
      <c r="M130" s="276">
        <v>0</v>
      </c>
    </row>
    <row r="131" spans="1:13 16384:16384" x14ac:dyDescent="0.25">
      <c r="A131" s="85">
        <v>54</v>
      </c>
      <c r="B131" s="185" t="s">
        <v>201</v>
      </c>
      <c r="C131" s="58" t="s">
        <v>202</v>
      </c>
      <c r="D131" s="70" t="s">
        <v>335</v>
      </c>
      <c r="E131" s="96">
        <v>560</v>
      </c>
      <c r="F131" s="234">
        <v>561</v>
      </c>
      <c r="G131" s="234">
        <v>1</v>
      </c>
      <c r="H131" s="183">
        <v>11100</v>
      </c>
      <c r="I131" s="178">
        <v>3700</v>
      </c>
      <c r="J131" s="178">
        <v>14800</v>
      </c>
      <c r="K131" s="266">
        <v>14800</v>
      </c>
      <c r="L131" s="1" t="s">
        <v>435</v>
      </c>
      <c r="M131" s="276">
        <v>0</v>
      </c>
    </row>
    <row r="132" spans="1:13 16384:16384" x14ac:dyDescent="0.25">
      <c r="A132" s="85">
        <v>55</v>
      </c>
      <c r="B132" s="179" t="s">
        <v>203</v>
      </c>
      <c r="C132" s="180" t="s">
        <v>204</v>
      </c>
      <c r="D132" s="181" t="s">
        <v>335</v>
      </c>
      <c r="E132" s="182">
        <v>2720</v>
      </c>
      <c r="F132" s="241">
        <v>2709</v>
      </c>
      <c r="G132" s="234">
        <v>0</v>
      </c>
      <c r="H132" s="183">
        <v>3000</v>
      </c>
      <c r="I132" s="178">
        <v>3000</v>
      </c>
      <c r="J132" s="178">
        <v>6000</v>
      </c>
      <c r="K132" s="266">
        <v>6000</v>
      </c>
      <c r="L132" s="1" t="s">
        <v>435</v>
      </c>
      <c r="M132" s="276">
        <v>0</v>
      </c>
    </row>
    <row r="133" spans="1:13 16384:16384" x14ac:dyDescent="0.25">
      <c r="A133" s="85">
        <v>56</v>
      </c>
      <c r="B133" s="185" t="s">
        <v>205</v>
      </c>
      <c r="C133" s="58" t="s">
        <v>206</v>
      </c>
      <c r="D133" s="70" t="s">
        <v>335</v>
      </c>
      <c r="E133" s="96">
        <v>1028</v>
      </c>
      <c r="F133" s="234">
        <v>1032</v>
      </c>
      <c r="G133" s="234">
        <v>4</v>
      </c>
      <c r="H133" s="183">
        <v>0</v>
      </c>
      <c r="I133" s="178">
        <v>5800</v>
      </c>
      <c r="J133" s="178">
        <v>5800</v>
      </c>
      <c r="K133" s="266">
        <v>5800</v>
      </c>
      <c r="L133" s="1" t="s">
        <v>435</v>
      </c>
      <c r="M133" s="276">
        <v>0</v>
      </c>
    </row>
    <row r="134" spans="1:13 16384:16384" x14ac:dyDescent="0.25">
      <c r="A134" s="85">
        <v>57</v>
      </c>
      <c r="B134" s="185" t="s">
        <v>207</v>
      </c>
      <c r="C134" s="58" t="s">
        <v>208</v>
      </c>
      <c r="D134" s="70" t="s">
        <v>335</v>
      </c>
      <c r="E134" s="96">
        <v>186</v>
      </c>
      <c r="F134" s="234">
        <v>187</v>
      </c>
      <c r="G134" s="234">
        <v>1</v>
      </c>
      <c r="H134" s="183">
        <v>3700</v>
      </c>
      <c r="I134" s="178">
        <v>3700</v>
      </c>
      <c r="J134" s="178">
        <v>7400</v>
      </c>
      <c r="K134" s="266"/>
      <c r="L134" s="1"/>
      <c r="M134" s="276">
        <v>7400</v>
      </c>
    </row>
    <row r="135" spans="1:13 16384:16384" x14ac:dyDescent="0.25">
      <c r="A135" s="85">
        <v>58</v>
      </c>
      <c r="B135" s="185" t="s">
        <v>209</v>
      </c>
      <c r="C135" s="58" t="s">
        <v>210</v>
      </c>
      <c r="D135" s="70" t="s">
        <v>335</v>
      </c>
      <c r="E135" s="96">
        <v>92</v>
      </c>
      <c r="F135" s="234">
        <v>92</v>
      </c>
      <c r="G135" s="234">
        <v>0</v>
      </c>
      <c r="H135" s="183">
        <v>6700</v>
      </c>
      <c r="I135" s="178">
        <v>3000</v>
      </c>
      <c r="J135" s="178">
        <v>9700</v>
      </c>
      <c r="K135" s="266">
        <v>9700</v>
      </c>
      <c r="L135" s="1" t="s">
        <v>435</v>
      </c>
      <c r="M135" s="276">
        <v>0</v>
      </c>
    </row>
    <row r="136" spans="1:13 16384:16384" x14ac:dyDescent="0.25">
      <c r="A136" s="85">
        <v>59</v>
      </c>
      <c r="B136" s="185" t="s">
        <v>211</v>
      </c>
      <c r="C136" s="58" t="s">
        <v>212</v>
      </c>
      <c r="D136" s="70" t="s">
        <v>335</v>
      </c>
      <c r="E136" s="96">
        <v>2026</v>
      </c>
      <c r="F136" s="234">
        <v>2048</v>
      </c>
      <c r="G136" s="234">
        <v>22</v>
      </c>
      <c r="H136" s="183">
        <v>10700</v>
      </c>
      <c r="I136" s="178">
        <v>20850</v>
      </c>
      <c r="J136" s="178">
        <v>31550</v>
      </c>
      <c r="K136" s="266">
        <v>31550</v>
      </c>
      <c r="L136" s="1" t="s">
        <v>435</v>
      </c>
      <c r="M136" s="276">
        <v>0</v>
      </c>
    </row>
    <row r="137" spans="1:13 16384:16384" x14ac:dyDescent="0.25">
      <c r="A137" s="85">
        <v>60</v>
      </c>
      <c r="B137" s="185" t="s">
        <v>218</v>
      </c>
      <c r="C137" s="58" t="s">
        <v>217</v>
      </c>
      <c r="D137" s="70" t="s">
        <v>335</v>
      </c>
      <c r="E137" s="96">
        <v>960</v>
      </c>
      <c r="F137" s="234">
        <v>976</v>
      </c>
      <c r="G137" s="234">
        <v>16</v>
      </c>
      <c r="H137" s="183">
        <v>27700</v>
      </c>
      <c r="I137" s="178">
        <v>14550</v>
      </c>
      <c r="J137" s="178">
        <v>42250</v>
      </c>
      <c r="K137" s="266">
        <v>42250</v>
      </c>
      <c r="L137" s="1" t="s">
        <v>435</v>
      </c>
      <c r="M137" s="276">
        <v>0</v>
      </c>
    </row>
    <row r="138" spans="1:13 16384:16384" x14ac:dyDescent="0.25">
      <c r="A138" s="85">
        <v>61</v>
      </c>
      <c r="B138" s="285" t="s">
        <v>213</v>
      </c>
      <c r="C138" s="278" t="s">
        <v>214</v>
      </c>
      <c r="D138" s="279" t="s">
        <v>335</v>
      </c>
      <c r="E138" s="280">
        <v>740</v>
      </c>
      <c r="F138" s="289">
        <v>740</v>
      </c>
      <c r="G138" s="289">
        <v>0</v>
      </c>
      <c r="H138" s="286">
        <v>20850</v>
      </c>
      <c r="I138" s="287">
        <v>3000</v>
      </c>
      <c r="J138" s="287">
        <v>23850</v>
      </c>
      <c r="K138" s="290">
        <v>23850</v>
      </c>
      <c r="L138" s="288" t="s">
        <v>435</v>
      </c>
      <c r="M138" s="290">
        <v>0</v>
      </c>
    </row>
    <row r="139" spans="1:13 16384:16384" x14ac:dyDescent="0.25">
      <c r="A139" s="85">
        <v>62</v>
      </c>
      <c r="B139" s="185" t="s">
        <v>215</v>
      </c>
      <c r="C139" s="58" t="s">
        <v>216</v>
      </c>
      <c r="D139" s="70" t="s">
        <v>335</v>
      </c>
      <c r="E139" s="96">
        <v>4137</v>
      </c>
      <c r="F139" s="234">
        <v>8</v>
      </c>
      <c r="G139" s="234">
        <v>8</v>
      </c>
      <c r="H139" s="183">
        <v>0</v>
      </c>
      <c r="I139" s="178">
        <v>8600</v>
      </c>
      <c r="J139" s="178">
        <v>8600</v>
      </c>
      <c r="K139" s="266"/>
      <c r="L139" s="1"/>
      <c r="M139" s="276">
        <v>8600</v>
      </c>
    </row>
    <row r="140" spans="1:13 16384:16384" x14ac:dyDescent="0.25">
      <c r="A140" s="85">
        <v>63</v>
      </c>
      <c r="B140" s="185" t="s">
        <v>219</v>
      </c>
      <c r="C140" s="58" t="s">
        <v>220</v>
      </c>
      <c r="D140" s="70" t="s">
        <v>335</v>
      </c>
      <c r="E140" s="96">
        <v>313</v>
      </c>
      <c r="F140" s="234">
        <v>314</v>
      </c>
      <c r="G140" s="234">
        <v>1</v>
      </c>
      <c r="H140" s="183">
        <v>30000</v>
      </c>
      <c r="I140" s="178">
        <v>3700</v>
      </c>
      <c r="J140" s="178">
        <v>33700</v>
      </c>
      <c r="K140" s="266"/>
      <c r="L140" s="1"/>
      <c r="M140" s="276">
        <v>33700</v>
      </c>
    </row>
    <row r="141" spans="1:13 16384:16384" x14ac:dyDescent="0.25">
      <c r="A141" s="85">
        <v>64</v>
      </c>
      <c r="B141" s="185" t="s">
        <v>221</v>
      </c>
      <c r="C141" s="58" t="s">
        <v>222</v>
      </c>
      <c r="D141" s="70" t="s">
        <v>335</v>
      </c>
      <c r="E141" s="96">
        <v>1803</v>
      </c>
      <c r="F141" s="234">
        <v>1820</v>
      </c>
      <c r="G141" s="234">
        <v>17</v>
      </c>
      <c r="H141" s="183">
        <v>0</v>
      </c>
      <c r="I141" s="178">
        <v>15600</v>
      </c>
      <c r="J141" s="178">
        <v>15600</v>
      </c>
      <c r="K141" s="266"/>
      <c r="L141" s="1"/>
      <c r="M141" s="276">
        <v>15600</v>
      </c>
    </row>
    <row r="142" spans="1:13 16384:16384" x14ac:dyDescent="0.25">
      <c r="A142" s="85">
        <v>65</v>
      </c>
      <c r="B142" s="185" t="s">
        <v>223</v>
      </c>
      <c r="C142" s="58" t="s">
        <v>224</v>
      </c>
      <c r="D142" s="70" t="s">
        <v>335</v>
      </c>
      <c r="E142" s="96">
        <v>2250</v>
      </c>
      <c r="F142" s="234">
        <v>2265</v>
      </c>
      <c r="G142" s="234">
        <v>15</v>
      </c>
      <c r="H142" s="183">
        <v>0</v>
      </c>
      <c r="I142" s="178">
        <v>13500</v>
      </c>
      <c r="J142" s="178">
        <v>13500</v>
      </c>
      <c r="K142" s="266">
        <v>13500</v>
      </c>
      <c r="L142" s="1" t="s">
        <v>435</v>
      </c>
      <c r="M142" s="276">
        <v>0</v>
      </c>
      <c r="XFD142" t="s">
        <v>456</v>
      </c>
    </row>
    <row r="143" spans="1:13 16384:16384" x14ac:dyDescent="0.25">
      <c r="A143" s="85">
        <v>66</v>
      </c>
      <c r="B143" s="185" t="s">
        <v>225</v>
      </c>
      <c r="C143" s="58" t="s">
        <v>226</v>
      </c>
      <c r="D143" s="70" t="s">
        <v>335</v>
      </c>
      <c r="E143" s="96">
        <v>1400</v>
      </c>
      <c r="F143" s="234">
        <v>1407</v>
      </c>
      <c r="G143" s="234">
        <v>7</v>
      </c>
      <c r="H143" s="183">
        <v>0</v>
      </c>
      <c r="I143" s="178">
        <v>7900</v>
      </c>
      <c r="J143" s="178">
        <v>7900</v>
      </c>
      <c r="K143" s="266">
        <v>7900</v>
      </c>
      <c r="L143" s="1" t="s">
        <v>399</v>
      </c>
      <c r="M143" s="276">
        <v>0</v>
      </c>
    </row>
    <row r="144" spans="1:13 16384:16384" x14ac:dyDescent="0.25">
      <c r="A144" s="85">
        <v>67</v>
      </c>
      <c r="B144" s="185" t="s">
        <v>227</v>
      </c>
      <c r="C144" s="58" t="s">
        <v>228</v>
      </c>
      <c r="D144" s="70" t="s">
        <v>335</v>
      </c>
      <c r="E144" s="96"/>
      <c r="F144" s="234">
        <v>3668</v>
      </c>
      <c r="G144" s="234">
        <v>0</v>
      </c>
      <c r="H144" s="276"/>
      <c r="I144" s="254">
        <v>3000</v>
      </c>
      <c r="J144" s="254">
        <v>3000</v>
      </c>
      <c r="K144" s="266"/>
      <c r="L144" s="1"/>
      <c r="M144" s="276">
        <v>3000</v>
      </c>
    </row>
    <row r="145" spans="1:13" x14ac:dyDescent="0.25">
      <c r="A145" s="85">
        <v>68</v>
      </c>
      <c r="B145" s="185" t="s">
        <v>229</v>
      </c>
      <c r="C145" s="58" t="s">
        <v>230</v>
      </c>
      <c r="D145" s="70" t="s">
        <v>335</v>
      </c>
      <c r="E145" s="96">
        <v>1487</v>
      </c>
      <c r="F145" s="234">
        <v>1491</v>
      </c>
      <c r="G145" s="234">
        <v>4</v>
      </c>
      <c r="H145" s="183">
        <v>62500</v>
      </c>
      <c r="I145" s="178">
        <v>5800</v>
      </c>
      <c r="J145" s="178">
        <v>68300</v>
      </c>
      <c r="K145" s="266">
        <v>25000</v>
      </c>
      <c r="L145" s="1" t="s">
        <v>434</v>
      </c>
      <c r="M145" s="313">
        <v>43300</v>
      </c>
    </row>
    <row r="146" spans="1:13" x14ac:dyDescent="0.25">
      <c r="A146" s="159">
        <v>69</v>
      </c>
      <c r="B146" s="206" t="s">
        <v>231</v>
      </c>
      <c r="C146" s="220" t="s">
        <v>232</v>
      </c>
      <c r="D146" s="208" t="s">
        <v>335</v>
      </c>
      <c r="E146" s="209">
        <v>4437</v>
      </c>
      <c r="F146" s="242"/>
      <c r="G146" s="242"/>
      <c r="H146" s="157">
        <v>53090</v>
      </c>
      <c r="I146" s="176">
        <v>1500</v>
      </c>
      <c r="J146" s="176">
        <v>1500</v>
      </c>
      <c r="K146" s="271">
        <v>3000</v>
      </c>
      <c r="L146" s="160" t="s">
        <v>399</v>
      </c>
      <c r="M146" s="314">
        <v>22750</v>
      </c>
    </row>
    <row r="147" spans="1:13" x14ac:dyDescent="0.25">
      <c r="A147" s="85">
        <v>70</v>
      </c>
      <c r="B147" s="185" t="s">
        <v>233</v>
      </c>
      <c r="C147" s="58" t="s">
        <v>234</v>
      </c>
      <c r="D147" s="70" t="s">
        <v>335</v>
      </c>
      <c r="E147" s="96">
        <v>5614</v>
      </c>
      <c r="F147" s="234">
        <v>5650</v>
      </c>
      <c r="G147" s="234">
        <v>36</v>
      </c>
      <c r="H147" s="183">
        <v>26670</v>
      </c>
      <c r="I147" s="178">
        <v>37650</v>
      </c>
      <c r="J147" s="178">
        <v>64320</v>
      </c>
      <c r="K147" s="266"/>
      <c r="L147" s="1"/>
      <c r="M147" s="276">
        <v>64320</v>
      </c>
    </row>
    <row r="148" spans="1:13" x14ac:dyDescent="0.25">
      <c r="A148" s="85">
        <v>71</v>
      </c>
      <c r="B148" s="185" t="s">
        <v>375</v>
      </c>
      <c r="C148" s="58" t="s">
        <v>236</v>
      </c>
      <c r="D148" s="70" t="s">
        <v>335</v>
      </c>
      <c r="E148" s="96">
        <v>1650</v>
      </c>
      <c r="F148" s="234">
        <v>1680</v>
      </c>
      <c r="G148" s="234">
        <v>30</v>
      </c>
      <c r="H148" s="183">
        <v>0</v>
      </c>
      <c r="I148" s="178">
        <v>29250</v>
      </c>
      <c r="J148" s="178">
        <v>29250</v>
      </c>
      <c r="K148" s="266">
        <v>29800</v>
      </c>
      <c r="L148" s="1" t="s">
        <v>435</v>
      </c>
      <c r="M148" s="309">
        <v>550</v>
      </c>
    </row>
    <row r="149" spans="1:13" x14ac:dyDescent="0.25">
      <c r="A149" s="85">
        <v>72</v>
      </c>
      <c r="B149" s="185" t="s">
        <v>237</v>
      </c>
      <c r="C149" s="58" t="s">
        <v>238</v>
      </c>
      <c r="D149" s="70" t="s">
        <v>335</v>
      </c>
      <c r="E149" s="96">
        <v>3468</v>
      </c>
      <c r="F149" s="234">
        <v>3500</v>
      </c>
      <c r="G149" s="234">
        <v>32</v>
      </c>
      <c r="H149" s="183">
        <v>0</v>
      </c>
      <c r="I149" s="178">
        <v>32050</v>
      </c>
      <c r="J149" s="178">
        <v>32050</v>
      </c>
      <c r="K149" s="266"/>
      <c r="L149" s="1"/>
      <c r="M149" s="276">
        <v>32050</v>
      </c>
    </row>
    <row r="150" spans="1:13" x14ac:dyDescent="0.25">
      <c r="A150" s="85">
        <v>73</v>
      </c>
      <c r="B150" s="185" t="s">
        <v>420</v>
      </c>
      <c r="C150" s="58" t="s">
        <v>240</v>
      </c>
      <c r="D150" s="70" t="s">
        <v>335</v>
      </c>
      <c r="E150" s="96">
        <v>3110</v>
      </c>
      <c r="F150" s="234">
        <v>3145</v>
      </c>
      <c r="G150" s="234">
        <v>35</v>
      </c>
      <c r="H150" s="183">
        <v>181450</v>
      </c>
      <c r="I150" s="178">
        <v>36250</v>
      </c>
      <c r="J150" s="178">
        <v>217700</v>
      </c>
      <c r="K150" s="266">
        <v>120000</v>
      </c>
      <c r="L150" s="1" t="s">
        <v>435</v>
      </c>
      <c r="M150" s="276">
        <v>111040</v>
      </c>
    </row>
    <row r="151" spans="1:13" x14ac:dyDescent="0.25">
      <c r="A151" s="85">
        <v>74</v>
      </c>
      <c r="B151" s="185" t="s">
        <v>241</v>
      </c>
      <c r="C151" s="58" t="s">
        <v>242</v>
      </c>
      <c r="D151" s="70" t="s">
        <v>335</v>
      </c>
      <c r="E151" s="96">
        <v>4474</v>
      </c>
      <c r="F151" s="234">
        <v>4487</v>
      </c>
      <c r="G151" s="234">
        <v>13</v>
      </c>
      <c r="H151" s="183">
        <v>0</v>
      </c>
      <c r="I151" s="178">
        <v>12100</v>
      </c>
      <c r="J151" s="178">
        <v>12100</v>
      </c>
      <c r="K151" s="266">
        <v>12100</v>
      </c>
      <c r="L151" s="1" t="s">
        <v>435</v>
      </c>
      <c r="M151" s="276">
        <v>0</v>
      </c>
    </row>
    <row r="152" spans="1:13" x14ac:dyDescent="0.25">
      <c r="A152" s="85">
        <v>75</v>
      </c>
      <c r="B152" s="185" t="s">
        <v>243</v>
      </c>
      <c r="C152" s="58" t="s">
        <v>244</v>
      </c>
      <c r="D152" s="70" t="s">
        <v>335</v>
      </c>
      <c r="E152" s="96">
        <v>4243</v>
      </c>
      <c r="F152" s="234">
        <v>4271</v>
      </c>
      <c r="G152" s="234">
        <v>28</v>
      </c>
      <c r="H152" s="183">
        <v>0</v>
      </c>
      <c r="I152" s="178">
        <v>27150</v>
      </c>
      <c r="J152" s="178">
        <v>27150</v>
      </c>
      <c r="K152" s="266">
        <v>27150</v>
      </c>
      <c r="L152" s="1" t="s">
        <v>435</v>
      </c>
      <c r="M152" s="276">
        <v>0</v>
      </c>
    </row>
    <row r="153" spans="1:13" x14ac:dyDescent="0.25">
      <c r="A153" s="85">
        <v>76</v>
      </c>
      <c r="B153" s="185" t="s">
        <v>245</v>
      </c>
      <c r="C153" s="58" t="s">
        <v>246</v>
      </c>
      <c r="D153" s="70" t="s">
        <v>335</v>
      </c>
      <c r="E153" s="96">
        <v>6867</v>
      </c>
      <c r="F153" s="234">
        <v>6897</v>
      </c>
      <c r="G153" s="234">
        <v>30</v>
      </c>
      <c r="H153" s="183">
        <v>0</v>
      </c>
      <c r="I153" s="178">
        <v>29250</v>
      </c>
      <c r="J153" s="178">
        <v>29250</v>
      </c>
      <c r="K153" s="266">
        <v>29250</v>
      </c>
      <c r="L153" s="1" t="s">
        <v>435</v>
      </c>
      <c r="M153" s="276">
        <v>0</v>
      </c>
    </row>
    <row r="154" spans="1:13" x14ac:dyDescent="0.25">
      <c r="A154" s="85">
        <v>77</v>
      </c>
      <c r="B154" s="248" t="s">
        <v>247</v>
      </c>
      <c r="C154" s="249" t="s">
        <v>248</v>
      </c>
      <c r="D154" s="250" t="s">
        <v>335</v>
      </c>
      <c r="E154" s="251">
        <v>947</v>
      </c>
      <c r="F154" s="234">
        <v>1001</v>
      </c>
      <c r="G154" s="234">
        <v>54</v>
      </c>
      <c r="H154" s="183">
        <v>32750</v>
      </c>
      <c r="I154" s="178">
        <v>62850</v>
      </c>
      <c r="J154" s="178">
        <v>95600</v>
      </c>
      <c r="K154" s="266">
        <v>95600</v>
      </c>
      <c r="L154" s="1" t="s">
        <v>435</v>
      </c>
      <c r="M154" s="276">
        <v>0</v>
      </c>
    </row>
    <row r="155" spans="1:13" x14ac:dyDescent="0.25">
      <c r="A155" s="85">
        <v>78</v>
      </c>
      <c r="B155" s="185" t="s">
        <v>249</v>
      </c>
      <c r="C155" s="58" t="s">
        <v>442</v>
      </c>
      <c r="D155" s="70" t="s">
        <v>335</v>
      </c>
      <c r="E155" s="96">
        <v>1944</v>
      </c>
      <c r="F155" s="234">
        <v>1951</v>
      </c>
      <c r="G155" s="234">
        <v>7</v>
      </c>
      <c r="H155" s="183">
        <v>100270</v>
      </c>
      <c r="I155" s="178">
        <v>7900</v>
      </c>
      <c r="J155" s="178">
        <v>108170</v>
      </c>
      <c r="K155" s="266"/>
      <c r="L155" s="1"/>
      <c r="M155" s="276">
        <v>108170</v>
      </c>
    </row>
    <row r="156" spans="1:13" x14ac:dyDescent="0.25">
      <c r="A156" s="85">
        <v>79</v>
      </c>
      <c r="B156" s="185" t="s">
        <v>353</v>
      </c>
      <c r="C156" s="58" t="s">
        <v>442</v>
      </c>
      <c r="D156" s="70" t="s">
        <v>335</v>
      </c>
      <c r="E156" s="96">
        <v>496</v>
      </c>
      <c r="F156" s="234">
        <v>497</v>
      </c>
      <c r="G156" s="234">
        <v>1</v>
      </c>
      <c r="H156" s="183">
        <v>10900</v>
      </c>
      <c r="I156" s="178">
        <v>3700</v>
      </c>
      <c r="J156" s="178">
        <v>14600</v>
      </c>
      <c r="K156" s="266"/>
      <c r="L156" s="1"/>
      <c r="M156" s="276">
        <v>14600</v>
      </c>
    </row>
    <row r="157" spans="1:13" x14ac:dyDescent="0.25">
      <c r="A157" s="85">
        <v>80</v>
      </c>
      <c r="B157" s="185" t="s">
        <v>251</v>
      </c>
      <c r="C157" s="58"/>
      <c r="D157" s="70" t="s">
        <v>335</v>
      </c>
      <c r="E157" s="96">
        <v>743</v>
      </c>
      <c r="F157" s="234">
        <v>752</v>
      </c>
      <c r="G157" s="234">
        <v>9</v>
      </c>
      <c r="H157" s="183">
        <v>98100</v>
      </c>
      <c r="I157" s="178">
        <v>9300</v>
      </c>
      <c r="J157" s="178">
        <v>107400</v>
      </c>
      <c r="K157" s="266"/>
      <c r="L157" s="1"/>
      <c r="M157" s="276">
        <v>107400</v>
      </c>
    </row>
    <row r="158" spans="1:13" x14ac:dyDescent="0.25">
      <c r="A158" s="85">
        <v>81</v>
      </c>
      <c r="B158" s="185" t="s">
        <v>252</v>
      </c>
      <c r="C158" s="58" t="s">
        <v>253</v>
      </c>
      <c r="D158" s="70" t="s">
        <v>335</v>
      </c>
      <c r="E158" s="96">
        <v>1993</v>
      </c>
      <c r="F158" s="234">
        <v>1993</v>
      </c>
      <c r="G158" s="234">
        <v>0</v>
      </c>
      <c r="H158" s="183">
        <v>3000</v>
      </c>
      <c r="I158" s="178">
        <v>3000</v>
      </c>
      <c r="J158" s="178">
        <v>6000</v>
      </c>
      <c r="K158" s="266">
        <v>6000</v>
      </c>
      <c r="L158" s="1" t="s">
        <v>435</v>
      </c>
      <c r="M158" s="276">
        <v>0</v>
      </c>
    </row>
    <row r="159" spans="1:13" x14ac:dyDescent="0.25">
      <c r="A159" s="85">
        <v>82</v>
      </c>
      <c r="B159" s="179" t="s">
        <v>443</v>
      </c>
      <c r="C159" s="180" t="s">
        <v>255</v>
      </c>
      <c r="D159" s="181" t="s">
        <v>335</v>
      </c>
      <c r="E159" s="182">
        <v>2244</v>
      </c>
      <c r="F159" s="241">
        <v>2250</v>
      </c>
      <c r="G159" s="234">
        <v>6</v>
      </c>
      <c r="H159" s="183">
        <v>30000</v>
      </c>
      <c r="I159" s="178">
        <v>7200</v>
      </c>
      <c r="J159" s="178">
        <v>37200</v>
      </c>
      <c r="K159" s="266"/>
      <c r="L159" s="1"/>
      <c r="M159" s="276">
        <v>37200</v>
      </c>
    </row>
    <row r="160" spans="1:13" x14ac:dyDescent="0.25">
      <c r="A160" s="85">
        <v>83</v>
      </c>
      <c r="B160" s="185" t="s">
        <v>4</v>
      </c>
      <c r="C160" s="58"/>
      <c r="D160" s="70" t="s">
        <v>335</v>
      </c>
      <c r="E160" s="96">
        <v>0</v>
      </c>
      <c r="F160" s="234">
        <v>0</v>
      </c>
      <c r="G160" s="234">
        <v>0</v>
      </c>
      <c r="H160" s="183">
        <v>0</v>
      </c>
      <c r="I160" s="178">
        <v>3000</v>
      </c>
      <c r="J160" s="178">
        <v>3000</v>
      </c>
      <c r="K160" s="266">
        <v>3000</v>
      </c>
      <c r="L160" s="1" t="s">
        <v>399</v>
      </c>
      <c r="M160" s="276">
        <v>0</v>
      </c>
    </row>
    <row r="161" spans="1:13" x14ac:dyDescent="0.25">
      <c r="A161" s="85">
        <v>84</v>
      </c>
      <c r="B161" s="185" t="s">
        <v>256</v>
      </c>
      <c r="C161" s="58" t="s">
        <v>257</v>
      </c>
      <c r="D161" s="70" t="s">
        <v>335</v>
      </c>
      <c r="E161" s="96">
        <v>510</v>
      </c>
      <c r="F161" s="234">
        <v>512</v>
      </c>
      <c r="G161" s="234">
        <v>2</v>
      </c>
      <c r="H161" s="183">
        <v>800</v>
      </c>
      <c r="I161" s="178">
        <v>4400</v>
      </c>
      <c r="J161" s="178">
        <v>5200</v>
      </c>
      <c r="K161" s="266"/>
      <c r="L161" s="1"/>
      <c r="M161" s="276">
        <v>5200</v>
      </c>
    </row>
    <row r="162" spans="1:13" x14ac:dyDescent="0.25">
      <c r="A162" s="85">
        <v>85</v>
      </c>
      <c r="B162" s="185" t="s">
        <v>258</v>
      </c>
      <c r="C162" s="58" t="s">
        <v>259</v>
      </c>
      <c r="D162" s="70" t="s">
        <v>335</v>
      </c>
      <c r="E162" s="96">
        <v>0</v>
      </c>
      <c r="F162" s="234">
        <v>0</v>
      </c>
      <c r="G162" s="234">
        <v>0</v>
      </c>
      <c r="H162" s="183">
        <v>40340</v>
      </c>
      <c r="I162" s="178">
        <v>3000</v>
      </c>
      <c r="J162" s="178">
        <v>43340</v>
      </c>
      <c r="K162" s="266">
        <v>43340</v>
      </c>
      <c r="L162" s="1" t="s">
        <v>434</v>
      </c>
      <c r="M162" s="276">
        <v>18670</v>
      </c>
    </row>
    <row r="163" spans="1:13" x14ac:dyDescent="0.25">
      <c r="A163" s="85">
        <v>86</v>
      </c>
      <c r="B163" s="185" t="s">
        <v>260</v>
      </c>
      <c r="C163" s="58" t="s">
        <v>261</v>
      </c>
      <c r="D163" s="70" t="s">
        <v>335</v>
      </c>
      <c r="E163" s="96">
        <v>340</v>
      </c>
      <c r="F163" s="234">
        <v>340</v>
      </c>
      <c r="G163" s="234">
        <v>0</v>
      </c>
      <c r="H163" s="183">
        <v>35400</v>
      </c>
      <c r="I163" s="178">
        <v>3000</v>
      </c>
      <c r="J163" s="178">
        <v>38400</v>
      </c>
      <c r="K163" s="266">
        <v>38400</v>
      </c>
      <c r="L163" s="1" t="s">
        <v>435</v>
      </c>
      <c r="M163" s="276">
        <v>0</v>
      </c>
    </row>
    <row r="164" spans="1:13" x14ac:dyDescent="0.25">
      <c r="A164" s="85">
        <v>87</v>
      </c>
      <c r="B164" s="185" t="s">
        <v>262</v>
      </c>
      <c r="C164" s="58" t="s">
        <v>263</v>
      </c>
      <c r="D164" s="70" t="s">
        <v>335</v>
      </c>
      <c r="E164" s="96">
        <v>520</v>
      </c>
      <c r="F164" s="234">
        <v>541</v>
      </c>
      <c r="G164" s="234">
        <v>21</v>
      </c>
      <c r="H164" s="183">
        <v>0</v>
      </c>
      <c r="I164" s="178">
        <v>19800</v>
      </c>
      <c r="J164" s="178">
        <v>19800</v>
      </c>
      <c r="K164" s="266">
        <v>19800</v>
      </c>
      <c r="L164" s="1" t="s">
        <v>399</v>
      </c>
      <c r="M164" s="276">
        <v>0</v>
      </c>
    </row>
    <row r="165" spans="1:13" x14ac:dyDescent="0.25">
      <c r="A165" s="85">
        <v>88</v>
      </c>
      <c r="B165" s="185" t="s">
        <v>264</v>
      </c>
      <c r="C165" s="58" t="s">
        <v>265</v>
      </c>
      <c r="D165" s="70" t="s">
        <v>335</v>
      </c>
      <c r="E165" s="96">
        <v>3583</v>
      </c>
      <c r="F165" s="234">
        <v>3584</v>
      </c>
      <c r="G165" s="234">
        <v>1</v>
      </c>
      <c r="H165" s="183">
        <v>53550</v>
      </c>
      <c r="I165" s="178">
        <v>3700</v>
      </c>
      <c r="J165" s="178">
        <v>57250</v>
      </c>
      <c r="K165" s="266">
        <v>57250</v>
      </c>
      <c r="L165" s="1" t="s">
        <v>435</v>
      </c>
      <c r="M165" s="313">
        <v>0</v>
      </c>
    </row>
    <row r="166" spans="1:13" x14ac:dyDescent="0.25">
      <c r="A166" s="256">
        <v>89</v>
      </c>
      <c r="B166" s="195" t="s">
        <v>266</v>
      </c>
      <c r="C166" s="196" t="s">
        <v>267</v>
      </c>
      <c r="D166" s="197" t="s">
        <v>335</v>
      </c>
      <c r="E166" s="198">
        <v>2</v>
      </c>
      <c r="F166" s="243">
        <v>2</v>
      </c>
      <c r="G166" s="243">
        <v>0</v>
      </c>
      <c r="H166" s="200">
        <v>91200</v>
      </c>
      <c r="I166" s="201">
        <v>3000</v>
      </c>
      <c r="J166" s="201">
        <v>94200</v>
      </c>
      <c r="K166" s="275"/>
      <c r="L166" s="194"/>
      <c r="M166" s="275">
        <v>94200</v>
      </c>
    </row>
    <row r="167" spans="1:13" x14ac:dyDescent="0.25">
      <c r="A167" s="85">
        <v>90</v>
      </c>
      <c r="B167" s="185" t="s">
        <v>268</v>
      </c>
      <c r="C167" s="58" t="s">
        <v>269</v>
      </c>
      <c r="D167" s="70" t="s">
        <v>335</v>
      </c>
      <c r="E167" s="96">
        <v>1565</v>
      </c>
      <c r="F167" s="234">
        <v>1592</v>
      </c>
      <c r="G167" s="234">
        <v>27</v>
      </c>
      <c r="H167" s="183">
        <v>0</v>
      </c>
      <c r="I167" s="178">
        <v>26100</v>
      </c>
      <c r="J167" s="178">
        <v>26100</v>
      </c>
      <c r="K167" s="266">
        <v>26100</v>
      </c>
      <c r="L167" s="1" t="s">
        <v>435</v>
      </c>
      <c r="M167" s="276">
        <v>0</v>
      </c>
    </row>
    <row r="168" spans="1:13" x14ac:dyDescent="0.25">
      <c r="A168" s="85">
        <v>91</v>
      </c>
      <c r="B168" s="185" t="s">
        <v>271</v>
      </c>
      <c r="C168" s="58" t="s">
        <v>270</v>
      </c>
      <c r="D168" s="70" t="s">
        <v>335</v>
      </c>
      <c r="E168" s="96">
        <v>2604</v>
      </c>
      <c r="F168" s="241">
        <v>2604</v>
      </c>
      <c r="G168" s="234">
        <v>0</v>
      </c>
      <c r="H168" s="183">
        <v>11100</v>
      </c>
      <c r="I168" s="178">
        <v>3000</v>
      </c>
      <c r="J168" s="178">
        <v>14100</v>
      </c>
      <c r="K168" s="266">
        <v>14100</v>
      </c>
      <c r="L168" s="1" t="s">
        <v>399</v>
      </c>
      <c r="M168" s="276">
        <v>0</v>
      </c>
    </row>
    <row r="169" spans="1:13" x14ac:dyDescent="0.25">
      <c r="A169" s="85">
        <v>92</v>
      </c>
      <c r="B169" s="185" t="s">
        <v>374</v>
      </c>
      <c r="C169" s="58" t="s">
        <v>273</v>
      </c>
      <c r="D169" s="70" t="s">
        <v>335</v>
      </c>
      <c r="E169" s="96">
        <v>3060</v>
      </c>
      <c r="F169" s="234">
        <v>3060</v>
      </c>
      <c r="G169" s="234">
        <v>0</v>
      </c>
      <c r="H169" s="183">
        <v>46050</v>
      </c>
      <c r="I169" s="178">
        <v>3000</v>
      </c>
      <c r="J169" s="178">
        <v>49050</v>
      </c>
      <c r="K169" s="266">
        <v>49050</v>
      </c>
      <c r="L169" s="1" t="s">
        <v>399</v>
      </c>
      <c r="M169" s="276">
        <v>0</v>
      </c>
    </row>
    <row r="170" spans="1:13" x14ac:dyDescent="0.25">
      <c r="A170" s="85">
        <v>93</v>
      </c>
      <c r="B170" s="179" t="s">
        <v>274</v>
      </c>
      <c r="C170" s="180" t="s">
        <v>275</v>
      </c>
      <c r="D170" s="181" t="s">
        <v>335</v>
      </c>
      <c r="E170" s="182">
        <v>8372</v>
      </c>
      <c r="F170" s="241">
        <v>3121</v>
      </c>
      <c r="G170" s="234">
        <v>16</v>
      </c>
      <c r="H170" s="193">
        <v>0</v>
      </c>
      <c r="I170" s="178">
        <v>14550</v>
      </c>
      <c r="J170" s="178">
        <v>14550</v>
      </c>
      <c r="K170" s="266">
        <v>14550</v>
      </c>
      <c r="L170" s="1" t="s">
        <v>435</v>
      </c>
      <c r="M170" s="310">
        <v>0</v>
      </c>
    </row>
    <row r="171" spans="1:13" x14ac:dyDescent="0.25">
      <c r="A171" s="255">
        <v>94</v>
      </c>
      <c r="B171" s="195" t="s">
        <v>276</v>
      </c>
      <c r="C171" s="196" t="s">
        <v>277</v>
      </c>
      <c r="D171" s="197" t="s">
        <v>335</v>
      </c>
      <c r="E171" s="198">
        <v>2973</v>
      </c>
      <c r="F171" s="198">
        <v>2973</v>
      </c>
      <c r="G171" s="244">
        <v>0</v>
      </c>
      <c r="H171" s="200">
        <v>38000</v>
      </c>
      <c r="I171" s="200">
        <v>3000</v>
      </c>
      <c r="J171" s="200">
        <v>41000</v>
      </c>
      <c r="K171" s="275"/>
      <c r="L171" s="194"/>
      <c r="M171" s="275">
        <v>41000</v>
      </c>
    </row>
    <row r="172" spans="1:13" x14ac:dyDescent="0.25">
      <c r="A172" s="85">
        <v>95</v>
      </c>
      <c r="B172" s="185" t="s">
        <v>278</v>
      </c>
      <c r="C172" s="58" t="s">
        <v>279</v>
      </c>
      <c r="D172" s="70" t="s">
        <v>335</v>
      </c>
      <c r="E172" s="96">
        <v>1154</v>
      </c>
      <c r="F172" s="234">
        <v>1165</v>
      </c>
      <c r="G172" s="234">
        <v>11</v>
      </c>
      <c r="H172" s="183">
        <v>35250</v>
      </c>
      <c r="I172" s="178">
        <v>10700</v>
      </c>
      <c r="J172" s="178">
        <v>45950</v>
      </c>
      <c r="K172" s="266"/>
      <c r="L172" s="1"/>
      <c r="M172" s="313">
        <v>45950</v>
      </c>
    </row>
    <row r="173" spans="1:13" x14ac:dyDescent="0.25">
      <c r="A173" s="213">
        <v>96</v>
      </c>
      <c r="B173" s="185" t="s">
        <v>354</v>
      </c>
      <c r="C173" s="58" t="s">
        <v>281</v>
      </c>
      <c r="D173" s="70" t="s">
        <v>335</v>
      </c>
      <c r="E173" s="96">
        <v>911</v>
      </c>
      <c r="F173" s="234">
        <v>911</v>
      </c>
      <c r="G173" s="234">
        <v>0</v>
      </c>
      <c r="H173" s="183">
        <v>8600</v>
      </c>
      <c r="I173" s="178">
        <v>3000</v>
      </c>
      <c r="J173" s="178">
        <v>11600</v>
      </c>
      <c r="K173" s="266"/>
      <c r="L173" s="1"/>
      <c r="M173" s="276">
        <v>11600</v>
      </c>
    </row>
    <row r="174" spans="1:13" x14ac:dyDescent="0.25">
      <c r="A174" s="85">
        <v>97</v>
      </c>
      <c r="B174" s="185" t="s">
        <v>282</v>
      </c>
      <c r="C174" s="58" t="s">
        <v>283</v>
      </c>
      <c r="D174" s="70" t="s">
        <v>335</v>
      </c>
      <c r="E174" s="96">
        <v>1669</v>
      </c>
      <c r="F174" s="234">
        <v>1674</v>
      </c>
      <c r="G174" s="234">
        <v>5</v>
      </c>
      <c r="H174" s="183">
        <v>12300</v>
      </c>
      <c r="I174" s="178">
        <v>6500</v>
      </c>
      <c r="J174" s="178">
        <v>18800</v>
      </c>
      <c r="K174" s="266">
        <v>18800</v>
      </c>
      <c r="L174" s="1" t="s">
        <v>399</v>
      </c>
      <c r="M174" s="276">
        <v>0</v>
      </c>
    </row>
    <row r="175" spans="1:13" x14ac:dyDescent="0.25">
      <c r="A175" s="85">
        <v>98</v>
      </c>
      <c r="B175" s="185" t="s">
        <v>284</v>
      </c>
      <c r="C175" s="58" t="s">
        <v>285</v>
      </c>
      <c r="D175" s="70" t="s">
        <v>335</v>
      </c>
      <c r="E175" s="96">
        <v>2305</v>
      </c>
      <c r="F175" s="234">
        <v>2329</v>
      </c>
      <c r="G175" s="234">
        <v>24</v>
      </c>
      <c r="H175" s="192">
        <v>300</v>
      </c>
      <c r="I175" s="178">
        <v>22950</v>
      </c>
      <c r="J175" s="297">
        <v>22650</v>
      </c>
      <c r="K175" s="266"/>
      <c r="L175" s="1"/>
      <c r="M175" s="276">
        <v>22650</v>
      </c>
    </row>
    <row r="176" spans="1:13" x14ac:dyDescent="0.25">
      <c r="A176" s="85">
        <v>99</v>
      </c>
      <c r="B176" s="185" t="s">
        <v>286</v>
      </c>
      <c r="C176" s="58" t="s">
        <v>287</v>
      </c>
      <c r="D176" s="70" t="s">
        <v>335</v>
      </c>
      <c r="E176" s="96">
        <v>1153</v>
      </c>
      <c r="F176" s="234">
        <v>1164</v>
      </c>
      <c r="G176" s="234">
        <v>11</v>
      </c>
      <c r="H176" s="183">
        <v>21100</v>
      </c>
      <c r="I176" s="178">
        <v>10700</v>
      </c>
      <c r="J176" s="178">
        <v>31800</v>
      </c>
      <c r="K176" s="266"/>
      <c r="L176" s="1"/>
      <c r="M176" s="276">
        <v>31800</v>
      </c>
    </row>
    <row r="177" spans="1:13" x14ac:dyDescent="0.25">
      <c r="A177" s="85">
        <v>100</v>
      </c>
      <c r="B177" s="185" t="s">
        <v>288</v>
      </c>
      <c r="C177" s="58" t="s">
        <v>289</v>
      </c>
      <c r="D177" s="70" t="s">
        <v>335</v>
      </c>
      <c r="E177" s="96">
        <v>7</v>
      </c>
      <c r="F177" s="234">
        <v>25</v>
      </c>
      <c r="G177" s="234">
        <v>18</v>
      </c>
      <c r="H177" s="183">
        <v>0</v>
      </c>
      <c r="I177" s="178">
        <v>16650</v>
      </c>
      <c r="J177" s="178">
        <v>16650</v>
      </c>
      <c r="K177" s="266">
        <v>16650</v>
      </c>
      <c r="L177" s="1" t="s">
        <v>435</v>
      </c>
      <c r="M177" s="276">
        <v>0</v>
      </c>
    </row>
    <row r="178" spans="1:13" x14ac:dyDescent="0.25">
      <c r="A178" s="213">
        <v>101</v>
      </c>
      <c r="B178" s="179" t="s">
        <v>290</v>
      </c>
      <c r="C178" s="180" t="s">
        <v>291</v>
      </c>
      <c r="D178" s="181" t="s">
        <v>335</v>
      </c>
      <c r="E178" s="182">
        <v>1398</v>
      </c>
      <c r="F178" s="241">
        <v>1398</v>
      </c>
      <c r="G178" s="234">
        <v>0</v>
      </c>
      <c r="H178" s="183">
        <v>3000</v>
      </c>
      <c r="I178" s="178">
        <v>3000</v>
      </c>
      <c r="J178" s="178">
        <v>6000</v>
      </c>
      <c r="K178" s="266">
        <v>6000</v>
      </c>
      <c r="L178" s="1" t="s">
        <v>435</v>
      </c>
      <c r="M178" s="276">
        <v>0</v>
      </c>
    </row>
    <row r="179" spans="1:13" x14ac:dyDescent="0.25">
      <c r="A179" s="85">
        <v>102</v>
      </c>
      <c r="B179" s="248" t="s">
        <v>292</v>
      </c>
      <c r="C179" s="249" t="s">
        <v>293</v>
      </c>
      <c r="D179" s="250" t="s">
        <v>335</v>
      </c>
      <c r="E179" s="251">
        <v>1782</v>
      </c>
      <c r="F179" s="234">
        <v>1803</v>
      </c>
      <c r="G179" s="234">
        <v>21</v>
      </c>
      <c r="H179" s="183">
        <v>3000</v>
      </c>
      <c r="I179" s="178">
        <v>19800</v>
      </c>
      <c r="J179" s="178">
        <v>22800</v>
      </c>
      <c r="K179" s="266">
        <v>22800</v>
      </c>
      <c r="L179" s="1" t="s">
        <v>435</v>
      </c>
      <c r="M179" s="276">
        <v>0</v>
      </c>
    </row>
    <row r="180" spans="1:13" x14ac:dyDescent="0.25">
      <c r="A180" s="85">
        <v>103</v>
      </c>
      <c r="B180" s="185" t="s">
        <v>294</v>
      </c>
      <c r="C180" s="58" t="s">
        <v>295</v>
      </c>
      <c r="D180" s="70" t="s">
        <v>335</v>
      </c>
      <c r="E180" s="96">
        <v>976</v>
      </c>
      <c r="F180" s="245">
        <v>991</v>
      </c>
      <c r="G180" s="245">
        <v>15</v>
      </c>
      <c r="H180" s="166">
        <v>0</v>
      </c>
      <c r="I180" s="177">
        <v>13500</v>
      </c>
      <c r="J180" s="177">
        <v>13500</v>
      </c>
      <c r="K180" s="266"/>
      <c r="L180" s="1"/>
      <c r="M180" s="276">
        <v>13500</v>
      </c>
    </row>
    <row r="181" spans="1:13" x14ac:dyDescent="0.25">
      <c r="A181" s="85">
        <v>104</v>
      </c>
      <c r="B181" s="185" t="s">
        <v>296</v>
      </c>
      <c r="C181" s="58" t="s">
        <v>297</v>
      </c>
      <c r="D181" s="70" t="s">
        <v>335</v>
      </c>
      <c r="E181" s="96">
        <v>835</v>
      </c>
      <c r="F181" s="234">
        <v>863</v>
      </c>
      <c r="G181" s="234">
        <v>28</v>
      </c>
      <c r="H181" s="183">
        <v>26670</v>
      </c>
      <c r="I181" s="178">
        <v>27150</v>
      </c>
      <c r="J181" s="178">
        <v>53820</v>
      </c>
      <c r="K181" s="266">
        <v>53820</v>
      </c>
      <c r="L181" s="1" t="s">
        <v>435</v>
      </c>
      <c r="M181" s="183">
        <v>26670</v>
      </c>
    </row>
    <row r="182" spans="1:13" x14ac:dyDescent="0.25">
      <c r="A182" s="85">
        <v>105</v>
      </c>
      <c r="B182" s="185" t="s">
        <v>366</v>
      </c>
      <c r="C182" s="58" t="s">
        <v>299</v>
      </c>
      <c r="D182" s="70" t="s">
        <v>335</v>
      </c>
      <c r="E182" s="96">
        <v>2786</v>
      </c>
      <c r="F182" s="234">
        <v>2798</v>
      </c>
      <c r="G182" s="234">
        <v>12</v>
      </c>
      <c r="H182" s="183">
        <v>26670</v>
      </c>
      <c r="I182" s="178">
        <v>11400</v>
      </c>
      <c r="J182" s="178">
        <v>38070</v>
      </c>
      <c r="K182" s="266">
        <v>38070</v>
      </c>
      <c r="L182" s="1" t="s">
        <v>399</v>
      </c>
      <c r="M182" s="183">
        <v>26670</v>
      </c>
    </row>
    <row r="183" spans="1:13" x14ac:dyDescent="0.25">
      <c r="A183" s="85">
        <v>106</v>
      </c>
      <c r="B183" s="179" t="s">
        <v>300</v>
      </c>
      <c r="C183" s="180" t="s">
        <v>301</v>
      </c>
      <c r="D183" s="181" t="s">
        <v>335</v>
      </c>
      <c r="E183" s="182">
        <v>4993</v>
      </c>
      <c r="F183" s="241">
        <v>5100</v>
      </c>
      <c r="G183" s="234">
        <v>3</v>
      </c>
      <c r="H183" s="183">
        <v>100</v>
      </c>
      <c r="I183" s="178">
        <v>5100</v>
      </c>
      <c r="J183" s="178">
        <v>5100</v>
      </c>
      <c r="K183" s="266"/>
      <c r="L183" s="1"/>
      <c r="M183" s="276">
        <v>5100</v>
      </c>
    </row>
    <row r="184" spans="1:13" x14ac:dyDescent="0.25">
      <c r="A184" s="85">
        <v>107</v>
      </c>
      <c r="B184" s="185" t="s">
        <v>302</v>
      </c>
      <c r="C184" s="58" t="s">
        <v>303</v>
      </c>
      <c r="D184" s="70" t="s">
        <v>335</v>
      </c>
      <c r="E184" s="96">
        <v>639</v>
      </c>
      <c r="F184" s="234">
        <v>649</v>
      </c>
      <c r="G184" s="234">
        <v>10</v>
      </c>
      <c r="H184" s="183">
        <v>0</v>
      </c>
      <c r="I184" s="178">
        <v>10000</v>
      </c>
      <c r="J184" s="178">
        <v>10000</v>
      </c>
      <c r="K184" s="266">
        <v>10000</v>
      </c>
      <c r="L184" s="1" t="s">
        <v>435</v>
      </c>
      <c r="M184" s="276">
        <v>0</v>
      </c>
    </row>
    <row r="185" spans="1:13" x14ac:dyDescent="0.25">
      <c r="A185" s="85">
        <v>108</v>
      </c>
      <c r="B185" s="179" t="s">
        <v>304</v>
      </c>
      <c r="C185" s="180" t="s">
        <v>305</v>
      </c>
      <c r="D185" s="181" t="s">
        <v>335</v>
      </c>
      <c r="E185" s="182">
        <v>3500</v>
      </c>
      <c r="F185" s="241">
        <v>3878</v>
      </c>
      <c r="G185" s="234"/>
      <c r="H185" s="183">
        <v>31550</v>
      </c>
      <c r="I185" s="178">
        <v>3000</v>
      </c>
      <c r="J185" s="178">
        <v>34550</v>
      </c>
      <c r="K185" s="266"/>
      <c r="L185" s="1"/>
      <c r="M185" s="276"/>
    </row>
    <row r="186" spans="1:13" x14ac:dyDescent="0.25">
      <c r="A186" s="85">
        <v>109</v>
      </c>
      <c r="B186" s="185" t="s">
        <v>306</v>
      </c>
      <c r="C186" s="58" t="s">
        <v>307</v>
      </c>
      <c r="D186" s="70" t="s">
        <v>335</v>
      </c>
      <c r="E186" s="96">
        <v>2960</v>
      </c>
      <c r="F186" s="234">
        <v>2969</v>
      </c>
      <c r="G186" s="234">
        <v>9</v>
      </c>
      <c r="H186" s="183">
        <v>7590</v>
      </c>
      <c r="I186" s="178">
        <v>9300</v>
      </c>
      <c r="J186" s="178">
        <v>16890</v>
      </c>
      <c r="K186" s="266">
        <v>16890</v>
      </c>
      <c r="L186" s="1" t="s">
        <v>435</v>
      </c>
      <c r="M186" s="276">
        <v>0</v>
      </c>
    </row>
    <row r="187" spans="1:13" x14ac:dyDescent="0.25">
      <c r="A187" s="85">
        <v>110</v>
      </c>
      <c r="B187" s="179" t="s">
        <v>308</v>
      </c>
      <c r="C187" s="180" t="s">
        <v>309</v>
      </c>
      <c r="D187" s="181" t="s">
        <v>335</v>
      </c>
      <c r="E187" s="182">
        <v>51</v>
      </c>
      <c r="F187" s="234">
        <v>51</v>
      </c>
      <c r="G187" s="234">
        <v>0</v>
      </c>
      <c r="H187" s="183">
        <v>0</v>
      </c>
      <c r="I187" s="178">
        <v>3000</v>
      </c>
      <c r="J187" s="178">
        <v>3000</v>
      </c>
      <c r="K187" s="266"/>
      <c r="L187" s="1"/>
      <c r="M187" s="276">
        <v>3000</v>
      </c>
    </row>
    <row r="188" spans="1:13" x14ac:dyDescent="0.25">
      <c r="A188" s="85">
        <v>111</v>
      </c>
      <c r="B188" s="179" t="s">
        <v>432</v>
      </c>
      <c r="C188" s="180" t="s">
        <v>311</v>
      </c>
      <c r="D188" s="181" t="s">
        <v>334</v>
      </c>
      <c r="E188" s="182">
        <v>2266</v>
      </c>
      <c r="F188" s="241">
        <v>2241</v>
      </c>
      <c r="G188" s="234">
        <v>0</v>
      </c>
      <c r="H188" s="183">
        <v>0</v>
      </c>
      <c r="I188" s="178">
        <v>3000</v>
      </c>
      <c r="J188" s="178">
        <v>3000</v>
      </c>
      <c r="K188" s="266">
        <v>3000</v>
      </c>
      <c r="L188" s="1" t="s">
        <v>435</v>
      </c>
      <c r="M188" s="276">
        <v>0</v>
      </c>
    </row>
    <row r="189" spans="1:13" x14ac:dyDescent="0.25">
      <c r="A189" s="85">
        <v>112</v>
      </c>
      <c r="B189" s="248" t="s">
        <v>312</v>
      </c>
      <c r="C189" s="249" t="s">
        <v>313</v>
      </c>
      <c r="D189" s="250" t="s">
        <v>335</v>
      </c>
      <c r="E189" s="182">
        <v>2562</v>
      </c>
      <c r="F189" s="267">
        <v>2579</v>
      </c>
      <c r="G189" s="234">
        <v>17</v>
      </c>
      <c r="H189" s="183">
        <v>0</v>
      </c>
      <c r="I189" s="178">
        <v>15600</v>
      </c>
      <c r="J189" s="178">
        <v>15600</v>
      </c>
      <c r="K189" s="266">
        <v>15600</v>
      </c>
      <c r="L189" s="1" t="s">
        <v>435</v>
      </c>
      <c r="M189" s="276">
        <v>0</v>
      </c>
    </row>
    <row r="190" spans="1:13" x14ac:dyDescent="0.25">
      <c r="A190" s="85">
        <v>113</v>
      </c>
      <c r="B190" s="185" t="s">
        <v>314</v>
      </c>
      <c r="C190" s="58" t="s">
        <v>315</v>
      </c>
      <c r="D190" s="70" t="s">
        <v>335</v>
      </c>
      <c r="E190" s="96">
        <v>1315</v>
      </c>
      <c r="F190" s="234">
        <v>1315</v>
      </c>
      <c r="G190" s="234">
        <v>0</v>
      </c>
      <c r="H190" s="183">
        <v>9000</v>
      </c>
      <c r="I190" s="178">
        <v>3000</v>
      </c>
      <c r="J190" s="178">
        <v>12000</v>
      </c>
      <c r="K190" s="266"/>
      <c r="L190" s="1"/>
      <c r="M190" s="276">
        <v>12000</v>
      </c>
    </row>
    <row r="191" spans="1:13" x14ac:dyDescent="0.25">
      <c r="A191" s="85">
        <v>114</v>
      </c>
      <c r="B191" s="185" t="s">
        <v>316</v>
      </c>
      <c r="C191" s="58" t="s">
        <v>317</v>
      </c>
      <c r="D191" s="70" t="s">
        <v>335</v>
      </c>
      <c r="E191" s="96">
        <v>4043</v>
      </c>
      <c r="F191" s="234">
        <v>4044</v>
      </c>
      <c r="G191" s="234">
        <v>1</v>
      </c>
      <c r="H191" s="183">
        <v>9700</v>
      </c>
      <c r="I191" s="178">
        <v>3700</v>
      </c>
      <c r="J191" s="178">
        <v>13400</v>
      </c>
      <c r="K191" s="266">
        <v>13500</v>
      </c>
      <c r="L191" s="1" t="s">
        <v>399</v>
      </c>
      <c r="M191" s="309">
        <v>100</v>
      </c>
    </row>
    <row r="192" spans="1:13" x14ac:dyDescent="0.25">
      <c r="A192" s="85">
        <v>115</v>
      </c>
      <c r="B192" s="185" t="s">
        <v>318</v>
      </c>
      <c r="C192" s="58" t="s">
        <v>319</v>
      </c>
      <c r="D192" s="70" t="s">
        <v>335</v>
      </c>
      <c r="E192" s="96">
        <v>1063</v>
      </c>
      <c r="F192" s="234">
        <v>1068</v>
      </c>
      <c r="G192" s="234">
        <v>5</v>
      </c>
      <c r="H192" s="183">
        <v>12300</v>
      </c>
      <c r="I192" s="178">
        <v>6500</v>
      </c>
      <c r="J192" s="178">
        <v>18800</v>
      </c>
      <c r="K192" s="266"/>
      <c r="L192" s="1"/>
      <c r="M192" s="276">
        <v>18800</v>
      </c>
    </row>
    <row r="193" spans="1:13" x14ac:dyDescent="0.25">
      <c r="A193" s="85">
        <v>116</v>
      </c>
      <c r="B193" s="185" t="s">
        <v>320</v>
      </c>
      <c r="C193" s="58" t="s">
        <v>321</v>
      </c>
      <c r="D193" s="70" t="s">
        <v>335</v>
      </c>
      <c r="E193" s="96">
        <v>1276</v>
      </c>
      <c r="F193" s="234">
        <v>1283</v>
      </c>
      <c r="G193" s="234">
        <v>7</v>
      </c>
      <c r="H193" s="183">
        <v>19700</v>
      </c>
      <c r="I193" s="178">
        <v>7900</v>
      </c>
      <c r="J193" s="178">
        <v>27600</v>
      </c>
      <c r="K193" s="266"/>
      <c r="L193" s="1"/>
      <c r="M193" s="276">
        <v>27600</v>
      </c>
    </row>
    <row r="194" spans="1:13" x14ac:dyDescent="0.25">
      <c r="A194" s="85">
        <v>117</v>
      </c>
      <c r="B194" s="185" t="s">
        <v>362</v>
      </c>
      <c r="C194" s="58" t="s">
        <v>323</v>
      </c>
      <c r="D194" s="70" t="s">
        <v>335</v>
      </c>
      <c r="E194" s="96">
        <v>2857</v>
      </c>
      <c r="F194" s="234">
        <v>2876</v>
      </c>
      <c r="G194" s="234">
        <v>19</v>
      </c>
      <c r="H194" s="232">
        <v>52950</v>
      </c>
      <c r="I194" s="178">
        <v>17700</v>
      </c>
      <c r="J194" s="178">
        <v>70650</v>
      </c>
      <c r="K194" s="266"/>
      <c r="L194" s="1"/>
      <c r="M194" s="310">
        <v>70650</v>
      </c>
    </row>
    <row r="195" spans="1:13" x14ac:dyDescent="0.25">
      <c r="A195" s="85">
        <v>118</v>
      </c>
      <c r="B195" s="185" t="s">
        <v>324</v>
      </c>
      <c r="C195" s="58" t="s">
        <v>325</v>
      </c>
      <c r="D195" s="70" t="s">
        <v>335</v>
      </c>
      <c r="E195" s="96">
        <v>433</v>
      </c>
      <c r="F195" s="234">
        <v>444</v>
      </c>
      <c r="G195" s="234">
        <v>11</v>
      </c>
      <c r="H195" s="183">
        <v>0</v>
      </c>
      <c r="I195" s="178">
        <v>10700</v>
      </c>
      <c r="J195" s="178">
        <v>10700</v>
      </c>
      <c r="K195" s="266"/>
      <c r="L195" s="1"/>
      <c r="M195" s="276">
        <v>10700</v>
      </c>
    </row>
    <row r="196" spans="1:13" x14ac:dyDescent="0.25">
      <c r="A196" s="85">
        <v>119</v>
      </c>
      <c r="B196" s="179" t="s">
        <v>326</v>
      </c>
      <c r="C196" s="180" t="s">
        <v>327</v>
      </c>
      <c r="D196" s="181" t="s">
        <v>335</v>
      </c>
      <c r="E196" s="182">
        <v>2949</v>
      </c>
      <c r="F196" s="241">
        <v>2944</v>
      </c>
      <c r="G196" s="234"/>
      <c r="H196" s="183">
        <v>0</v>
      </c>
      <c r="I196" s="178">
        <v>3000</v>
      </c>
      <c r="J196" s="178">
        <v>3000</v>
      </c>
      <c r="K196" s="266"/>
      <c r="L196" s="1"/>
      <c r="M196" s="276">
        <v>3000</v>
      </c>
    </row>
    <row r="197" spans="1:13" x14ac:dyDescent="0.25">
      <c r="A197" s="85">
        <v>120</v>
      </c>
      <c r="B197" s="179" t="s">
        <v>328</v>
      </c>
      <c r="C197" s="180" t="s">
        <v>329</v>
      </c>
      <c r="D197" s="181" t="s">
        <v>335</v>
      </c>
      <c r="E197" s="182">
        <v>2655</v>
      </c>
      <c r="F197" s="241">
        <v>2546</v>
      </c>
      <c r="G197" s="234"/>
      <c r="H197" s="183">
        <v>5800</v>
      </c>
      <c r="I197" s="178">
        <v>3000</v>
      </c>
      <c r="J197" s="178">
        <v>8800</v>
      </c>
      <c r="K197" s="266"/>
      <c r="L197" s="1"/>
      <c r="M197" s="276">
        <v>8800</v>
      </c>
    </row>
    <row r="198" spans="1:13" x14ac:dyDescent="0.25">
      <c r="A198" s="85">
        <v>121</v>
      </c>
      <c r="B198" s="185" t="s">
        <v>363</v>
      </c>
      <c r="C198" s="58" t="s">
        <v>331</v>
      </c>
      <c r="D198" s="70" t="s">
        <v>335</v>
      </c>
      <c r="E198" s="96">
        <v>1213</v>
      </c>
      <c r="F198" s="234">
        <v>1218</v>
      </c>
      <c r="G198" s="234">
        <v>5</v>
      </c>
      <c r="H198" s="183">
        <v>11600</v>
      </c>
      <c r="I198" s="178">
        <v>6500</v>
      </c>
      <c r="J198" s="178">
        <v>18100</v>
      </c>
      <c r="K198" s="266">
        <v>20000</v>
      </c>
      <c r="L198" s="1" t="s">
        <v>399</v>
      </c>
      <c r="M198" s="309">
        <v>1900</v>
      </c>
    </row>
    <row r="199" spans="1:13" x14ac:dyDescent="0.25">
      <c r="A199" s="85">
        <f>A198+1</f>
        <v>122</v>
      </c>
      <c r="B199" s="185" t="s">
        <v>332</v>
      </c>
      <c r="C199" s="58" t="s">
        <v>333</v>
      </c>
      <c r="D199" s="70" t="s">
        <v>335</v>
      </c>
      <c r="E199" s="96">
        <v>933</v>
      </c>
      <c r="F199" s="234">
        <v>958</v>
      </c>
      <c r="G199" s="234">
        <v>25</v>
      </c>
      <c r="H199" s="183">
        <v>38550</v>
      </c>
      <c r="I199" s="178">
        <v>24000</v>
      </c>
      <c r="J199" s="178">
        <v>62550</v>
      </c>
      <c r="K199" s="266">
        <v>5000</v>
      </c>
      <c r="L199" s="1" t="s">
        <v>435</v>
      </c>
      <c r="M199" s="276">
        <v>57550</v>
      </c>
    </row>
    <row r="200" spans="1:13" x14ac:dyDescent="0.25">
      <c r="A200" s="85">
        <v>123</v>
      </c>
      <c r="B200" s="186" t="s">
        <v>449</v>
      </c>
      <c r="C200" s="1"/>
      <c r="D200" s="70" t="s">
        <v>335</v>
      </c>
      <c r="E200" s="252"/>
      <c r="F200" s="245"/>
      <c r="G200" s="245"/>
      <c r="H200" s="166"/>
      <c r="I200" s="165"/>
      <c r="J200" s="177">
        <v>18670</v>
      </c>
      <c r="K200" s="266">
        <v>18670</v>
      </c>
      <c r="L200" s="1" t="s">
        <v>435</v>
      </c>
      <c r="M200" s="276">
        <v>18670</v>
      </c>
    </row>
  </sheetData>
  <mergeCells count="2">
    <mergeCell ref="A1:C1"/>
    <mergeCell ref="A76:C76"/>
  </mergeCells>
  <pageMargins left="0.7" right="0.7" top="0.75" bottom="0.75" header="0.3" footer="0.3"/>
  <pageSetup orientation="portrait" horizontalDpi="0" verticalDpi="0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4:M204"/>
  <sheetViews>
    <sheetView topLeftCell="B185" workbookViewId="0">
      <selection activeCell="M203" sqref="M203"/>
    </sheetView>
  </sheetViews>
  <sheetFormatPr baseColWidth="10" defaultRowHeight="15" x14ac:dyDescent="0.25"/>
  <cols>
    <col min="1" max="1" width="4" style="336" customWidth="1"/>
    <col min="2" max="2" width="43.5703125" bestFit="1" customWidth="1"/>
    <col min="3" max="3" width="14.85546875" customWidth="1"/>
    <col min="12" max="12" width="13.5703125" customWidth="1"/>
    <col min="13" max="13" width="11.42578125" style="269"/>
  </cols>
  <sheetData>
    <row r="4" spans="1:13" ht="15.75" thickBot="1" x14ac:dyDescent="0.3"/>
    <row r="5" spans="1:13" x14ac:dyDescent="0.25">
      <c r="A5" s="378" t="s">
        <v>8</v>
      </c>
      <c r="B5" s="378"/>
      <c r="C5" s="378"/>
      <c r="D5" s="132"/>
      <c r="E5" s="131"/>
      <c r="F5" s="236"/>
      <c r="G5" s="236"/>
      <c r="H5" s="131"/>
      <c r="I5" s="131"/>
      <c r="J5" s="133"/>
      <c r="K5" s="269"/>
    </row>
    <row r="6" spans="1:13" x14ac:dyDescent="0.25">
      <c r="A6" s="337" t="s">
        <v>3</v>
      </c>
      <c r="B6" s="128" t="s">
        <v>0</v>
      </c>
      <c r="C6" s="128" t="s">
        <v>1</v>
      </c>
      <c r="D6" s="129" t="s">
        <v>2</v>
      </c>
      <c r="E6" s="129" t="s">
        <v>336</v>
      </c>
      <c r="F6" s="235" t="s">
        <v>337</v>
      </c>
      <c r="G6" s="235" t="s">
        <v>10</v>
      </c>
      <c r="H6" s="129" t="s">
        <v>356</v>
      </c>
      <c r="I6" s="129" t="s">
        <v>357</v>
      </c>
      <c r="J6" s="128" t="s">
        <v>11</v>
      </c>
      <c r="K6" s="270" t="s">
        <v>12</v>
      </c>
      <c r="L6" s="129" t="s">
        <v>355</v>
      </c>
      <c r="M6" s="308" t="s">
        <v>13</v>
      </c>
    </row>
    <row r="7" spans="1:13" x14ac:dyDescent="0.25">
      <c r="A7" s="338">
        <v>1</v>
      </c>
      <c r="B7" s="160" t="s">
        <v>14</v>
      </c>
      <c r="C7" s="161" t="s">
        <v>100</v>
      </c>
      <c r="D7" s="154" t="s">
        <v>5</v>
      </c>
      <c r="E7" s="246">
        <v>1592</v>
      </c>
      <c r="F7" s="246">
        <v>2795</v>
      </c>
      <c r="G7" s="237">
        <v>3</v>
      </c>
      <c r="H7" s="271">
        <v>3000</v>
      </c>
      <c r="I7" s="164">
        <v>2550</v>
      </c>
      <c r="J7" s="176">
        <v>5550</v>
      </c>
      <c r="K7" s="271"/>
      <c r="L7" s="160"/>
      <c r="M7" s="271">
        <v>3000</v>
      </c>
    </row>
    <row r="8" spans="1:13" x14ac:dyDescent="0.25">
      <c r="A8" s="339">
        <f>A7+1</f>
        <v>2</v>
      </c>
      <c r="B8" s="1" t="s">
        <v>15</v>
      </c>
      <c r="C8" s="4"/>
      <c r="D8" s="70" t="s">
        <v>5</v>
      </c>
      <c r="E8" s="233">
        <v>1</v>
      </c>
      <c r="F8" s="233">
        <v>1</v>
      </c>
      <c r="G8" s="238">
        <v>0</v>
      </c>
      <c r="H8" s="276">
        <v>3000</v>
      </c>
      <c r="I8" s="177">
        <v>3000</v>
      </c>
      <c r="J8" s="178">
        <v>6000</v>
      </c>
      <c r="K8" s="266"/>
      <c r="L8" s="1"/>
      <c r="M8" s="276">
        <v>6000</v>
      </c>
    </row>
    <row r="9" spans="1:13" x14ac:dyDescent="0.25">
      <c r="A9" s="338">
        <f t="shared" ref="A9:A54" si="0">A8+1</f>
        <v>3</v>
      </c>
      <c r="B9" s="299" t="s">
        <v>16</v>
      </c>
      <c r="C9" s="315" t="s">
        <v>101</v>
      </c>
      <c r="D9" s="301" t="s">
        <v>5</v>
      </c>
      <c r="E9" s="316">
        <v>2307</v>
      </c>
      <c r="F9" s="316">
        <v>2327</v>
      </c>
      <c r="G9" s="237">
        <v>20</v>
      </c>
      <c r="H9" s="271">
        <v>0</v>
      </c>
      <c r="I9" s="164">
        <v>12000</v>
      </c>
      <c r="J9" s="176">
        <v>12000</v>
      </c>
      <c r="K9" s="271">
        <v>12000</v>
      </c>
      <c r="L9" s="160" t="s">
        <v>376</v>
      </c>
      <c r="M9" s="271">
        <v>0</v>
      </c>
    </row>
    <row r="10" spans="1:13" x14ac:dyDescent="0.25">
      <c r="A10" s="339">
        <f t="shared" si="0"/>
        <v>4</v>
      </c>
      <c r="B10" s="248" t="s">
        <v>17</v>
      </c>
      <c r="C10" s="292" t="s">
        <v>373</v>
      </c>
      <c r="D10" s="250" t="s">
        <v>5</v>
      </c>
      <c r="E10" s="233">
        <v>2992</v>
      </c>
      <c r="F10" s="233">
        <v>3010</v>
      </c>
      <c r="G10" s="238">
        <v>18</v>
      </c>
      <c r="H10" s="276">
        <v>0</v>
      </c>
      <c r="I10" s="177">
        <v>16650</v>
      </c>
      <c r="J10" s="178">
        <v>16650</v>
      </c>
      <c r="K10" s="266">
        <v>16650</v>
      </c>
      <c r="L10" s="1" t="s">
        <v>435</v>
      </c>
      <c r="M10" s="276">
        <v>0</v>
      </c>
    </row>
    <row r="11" spans="1:13" x14ac:dyDescent="0.25">
      <c r="A11" s="339">
        <f t="shared" si="0"/>
        <v>5</v>
      </c>
      <c r="B11" s="1" t="s">
        <v>18</v>
      </c>
      <c r="C11" s="4" t="s">
        <v>377</v>
      </c>
      <c r="D11" s="70" t="s">
        <v>5</v>
      </c>
      <c r="E11" s="233">
        <v>2084</v>
      </c>
      <c r="F11" s="233">
        <v>2104</v>
      </c>
      <c r="G11" s="238">
        <v>20</v>
      </c>
      <c r="H11" s="276">
        <v>0</v>
      </c>
      <c r="I11" s="177">
        <v>18750</v>
      </c>
      <c r="J11" s="177">
        <v>18750</v>
      </c>
      <c r="K11" s="266">
        <v>18750</v>
      </c>
      <c r="L11" s="1" t="s">
        <v>434</v>
      </c>
      <c r="M11" s="276">
        <v>0</v>
      </c>
    </row>
    <row r="12" spans="1:13" x14ac:dyDescent="0.25">
      <c r="A12" s="339">
        <f t="shared" si="0"/>
        <v>6</v>
      </c>
      <c r="B12" s="1" t="s">
        <v>19</v>
      </c>
      <c r="C12" s="4"/>
      <c r="D12" s="70" t="s">
        <v>5</v>
      </c>
      <c r="E12" s="233">
        <v>375</v>
      </c>
      <c r="F12" s="233">
        <v>375</v>
      </c>
      <c r="G12" s="238">
        <v>0</v>
      </c>
      <c r="H12" s="276">
        <v>10900</v>
      </c>
      <c r="I12" s="177">
        <v>3000</v>
      </c>
      <c r="J12" s="178">
        <v>13900</v>
      </c>
      <c r="K12" s="266"/>
      <c r="L12" s="1"/>
      <c r="M12" s="276">
        <v>13900</v>
      </c>
    </row>
    <row r="13" spans="1:13" x14ac:dyDescent="0.25">
      <c r="A13" s="339">
        <f t="shared" si="0"/>
        <v>7</v>
      </c>
      <c r="B13" s="1" t="s">
        <v>20</v>
      </c>
      <c r="C13" s="4" t="s">
        <v>427</v>
      </c>
      <c r="D13" s="70" t="s">
        <v>5</v>
      </c>
      <c r="E13" s="233">
        <v>5815</v>
      </c>
      <c r="F13" s="233">
        <v>5835</v>
      </c>
      <c r="G13" s="238">
        <v>20</v>
      </c>
      <c r="H13" s="276">
        <v>0</v>
      </c>
      <c r="I13" s="177">
        <v>18750</v>
      </c>
      <c r="J13" s="177">
        <v>18750</v>
      </c>
      <c r="K13" s="266">
        <v>18750</v>
      </c>
      <c r="L13" s="1" t="s">
        <v>434</v>
      </c>
      <c r="M13" s="276">
        <v>0</v>
      </c>
    </row>
    <row r="14" spans="1:13" x14ac:dyDescent="0.25">
      <c r="A14" s="339">
        <f t="shared" si="0"/>
        <v>8</v>
      </c>
      <c r="B14" s="1" t="s">
        <v>21</v>
      </c>
      <c r="C14" s="4" t="s">
        <v>378</v>
      </c>
      <c r="D14" s="70" t="s">
        <v>5</v>
      </c>
      <c r="E14" s="233">
        <v>1769</v>
      </c>
      <c r="F14" s="233">
        <v>1780</v>
      </c>
      <c r="G14" s="238">
        <v>11</v>
      </c>
      <c r="H14" s="276">
        <v>0</v>
      </c>
      <c r="I14" s="177">
        <v>10700</v>
      </c>
      <c r="J14" s="177">
        <v>10700</v>
      </c>
      <c r="K14" s="266"/>
      <c r="L14" s="1"/>
      <c r="M14" s="276">
        <v>10700</v>
      </c>
    </row>
    <row r="15" spans="1:13" x14ac:dyDescent="0.25">
      <c r="A15" s="339">
        <f t="shared" si="0"/>
        <v>9</v>
      </c>
      <c r="B15" s="1" t="s">
        <v>22</v>
      </c>
      <c r="C15" s="4" t="s">
        <v>379</v>
      </c>
      <c r="D15" s="70" t="s">
        <v>5</v>
      </c>
      <c r="E15" s="233">
        <v>480</v>
      </c>
      <c r="F15" s="233">
        <v>493</v>
      </c>
      <c r="G15" s="238">
        <v>13</v>
      </c>
      <c r="H15" s="276">
        <v>13340</v>
      </c>
      <c r="I15" s="177">
        <v>12100</v>
      </c>
      <c r="J15" s="177">
        <v>25440</v>
      </c>
      <c r="K15" s="266">
        <v>25440</v>
      </c>
      <c r="L15" s="1" t="s">
        <v>434</v>
      </c>
      <c r="M15" s="276">
        <v>0</v>
      </c>
    </row>
    <row r="16" spans="1:13" x14ac:dyDescent="0.25">
      <c r="A16" s="339">
        <f t="shared" si="0"/>
        <v>10</v>
      </c>
      <c r="B16" s="1" t="s">
        <v>380</v>
      </c>
      <c r="C16" s="4" t="s">
        <v>386</v>
      </c>
      <c r="D16" s="70" t="s">
        <v>5</v>
      </c>
      <c r="E16" s="233">
        <v>9757</v>
      </c>
      <c r="F16" s="233">
        <v>9883</v>
      </c>
      <c r="G16" s="238">
        <v>126</v>
      </c>
      <c r="H16" s="276">
        <v>116050</v>
      </c>
      <c r="I16" s="177">
        <v>163650</v>
      </c>
      <c r="J16" s="178">
        <v>279700</v>
      </c>
      <c r="K16" s="266"/>
      <c r="L16" s="1"/>
      <c r="M16" s="276">
        <v>279700</v>
      </c>
    </row>
    <row r="17" spans="1:13" x14ac:dyDescent="0.25">
      <c r="A17" s="339">
        <f t="shared" si="0"/>
        <v>11</v>
      </c>
      <c r="B17" s="248" t="s">
        <v>24</v>
      </c>
      <c r="C17" s="292" t="s">
        <v>382</v>
      </c>
      <c r="D17" s="250" t="s">
        <v>5</v>
      </c>
      <c r="E17" s="294">
        <v>3331</v>
      </c>
      <c r="F17" s="294">
        <v>3336</v>
      </c>
      <c r="G17" s="238">
        <v>5</v>
      </c>
      <c r="H17" s="309">
        <v>4000</v>
      </c>
      <c r="I17" s="177">
        <v>6500</v>
      </c>
      <c r="J17" s="177">
        <v>2500</v>
      </c>
      <c r="K17" s="266"/>
      <c r="L17" s="1"/>
      <c r="M17" s="276">
        <v>2500</v>
      </c>
    </row>
    <row r="18" spans="1:13" x14ac:dyDescent="0.25">
      <c r="A18" s="339">
        <f t="shared" si="0"/>
        <v>12</v>
      </c>
      <c r="B18" s="1" t="s">
        <v>25</v>
      </c>
      <c r="C18" s="4" t="s">
        <v>383</v>
      </c>
      <c r="D18" s="70" t="s">
        <v>5</v>
      </c>
      <c r="E18" s="233">
        <v>1072</v>
      </c>
      <c r="F18" s="233">
        <v>1081</v>
      </c>
      <c r="G18" s="238">
        <v>9</v>
      </c>
      <c r="H18" s="276">
        <v>0</v>
      </c>
      <c r="I18" s="177">
        <v>9300</v>
      </c>
      <c r="J18" s="178">
        <v>9300</v>
      </c>
      <c r="K18" s="266"/>
      <c r="L18" s="1"/>
      <c r="M18" s="276">
        <v>9300</v>
      </c>
    </row>
    <row r="19" spans="1:13" x14ac:dyDescent="0.25">
      <c r="A19" s="339">
        <f t="shared" si="0"/>
        <v>13</v>
      </c>
      <c r="B19" s="179" t="s">
        <v>26</v>
      </c>
      <c r="C19" s="210" t="s">
        <v>384</v>
      </c>
      <c r="D19" s="181" t="s">
        <v>5</v>
      </c>
      <c r="E19" s="265">
        <v>1337</v>
      </c>
      <c r="F19" s="265">
        <v>2340</v>
      </c>
      <c r="G19" s="238" t="s">
        <v>457</v>
      </c>
      <c r="H19" s="276">
        <v>0</v>
      </c>
      <c r="I19" s="177">
        <v>3000</v>
      </c>
      <c r="J19" s="178">
        <v>3000</v>
      </c>
      <c r="K19" s="266"/>
      <c r="L19" s="1"/>
      <c r="M19" s="276">
        <v>3000</v>
      </c>
    </row>
    <row r="20" spans="1:13" x14ac:dyDescent="0.25">
      <c r="A20" s="339">
        <f t="shared" si="0"/>
        <v>14</v>
      </c>
      <c r="B20" s="248" t="s">
        <v>381</v>
      </c>
      <c r="C20" s="292" t="s">
        <v>386</v>
      </c>
      <c r="D20" s="250" t="s">
        <v>5</v>
      </c>
      <c r="E20" s="294">
        <v>2250</v>
      </c>
      <c r="F20" s="294">
        <v>2267</v>
      </c>
      <c r="G20" s="317">
        <v>17</v>
      </c>
      <c r="H20" s="276">
        <v>5100</v>
      </c>
      <c r="I20" s="177">
        <v>15600</v>
      </c>
      <c r="J20" s="178">
        <v>20700</v>
      </c>
      <c r="K20" s="266"/>
      <c r="L20" s="1"/>
      <c r="M20" s="276">
        <v>20700</v>
      </c>
    </row>
    <row r="21" spans="1:13" x14ac:dyDescent="0.25">
      <c r="A21" s="339">
        <f t="shared" si="0"/>
        <v>15</v>
      </c>
      <c r="B21" s="31" t="s">
        <v>367</v>
      </c>
      <c r="C21" s="4" t="s">
        <v>385</v>
      </c>
      <c r="D21" s="70" t="s">
        <v>5</v>
      </c>
      <c r="E21" s="233">
        <v>2252</v>
      </c>
      <c r="F21" s="233"/>
      <c r="G21" s="238" t="s">
        <v>457</v>
      </c>
      <c r="H21" s="276">
        <v>9000</v>
      </c>
      <c r="I21" s="177">
        <v>3000</v>
      </c>
      <c r="J21" s="178">
        <v>12000</v>
      </c>
      <c r="K21" s="266">
        <v>12000</v>
      </c>
      <c r="L21" s="1" t="s">
        <v>434</v>
      </c>
      <c r="M21" s="276">
        <v>0</v>
      </c>
    </row>
    <row r="22" spans="1:13" x14ac:dyDescent="0.25">
      <c r="A22" s="339">
        <f t="shared" si="0"/>
        <v>16</v>
      </c>
      <c r="B22" s="1" t="s">
        <v>29</v>
      </c>
      <c r="C22" s="4" t="s">
        <v>387</v>
      </c>
      <c r="D22" s="70" t="s">
        <v>7</v>
      </c>
      <c r="E22" s="233">
        <v>1102</v>
      </c>
      <c r="F22" s="233">
        <v>1104</v>
      </c>
      <c r="G22" s="238">
        <v>2</v>
      </c>
      <c r="H22" s="276">
        <v>0</v>
      </c>
      <c r="I22" s="177">
        <v>4400</v>
      </c>
      <c r="J22" s="178">
        <v>4400</v>
      </c>
      <c r="K22" s="266">
        <v>4400</v>
      </c>
      <c r="L22" s="1" t="s">
        <v>434</v>
      </c>
      <c r="M22" s="276">
        <v>0</v>
      </c>
    </row>
    <row r="23" spans="1:13" x14ac:dyDescent="0.25">
      <c r="A23" s="339">
        <f t="shared" si="0"/>
        <v>17</v>
      </c>
      <c r="B23" s="1" t="s">
        <v>30</v>
      </c>
      <c r="C23" s="4" t="s">
        <v>388</v>
      </c>
      <c r="D23" s="70" t="s">
        <v>5</v>
      </c>
      <c r="E23" s="233">
        <v>864</v>
      </c>
      <c r="F23" s="233">
        <v>883</v>
      </c>
      <c r="G23" s="238">
        <v>19</v>
      </c>
      <c r="H23" s="276">
        <v>12000</v>
      </c>
      <c r="I23" s="177">
        <v>17700</v>
      </c>
      <c r="J23" s="178">
        <v>29700</v>
      </c>
      <c r="K23" s="266"/>
      <c r="L23" s="1"/>
      <c r="M23" s="276">
        <v>29700</v>
      </c>
    </row>
    <row r="24" spans="1:13" x14ac:dyDescent="0.25">
      <c r="A24" s="339">
        <f t="shared" si="0"/>
        <v>18</v>
      </c>
      <c r="B24" s="1" t="s">
        <v>338</v>
      </c>
      <c r="C24" s="4" t="s">
        <v>339</v>
      </c>
      <c r="D24" s="70" t="s">
        <v>5</v>
      </c>
      <c r="E24" s="233">
        <v>1500</v>
      </c>
      <c r="F24" s="233">
        <v>1517</v>
      </c>
      <c r="G24" s="238">
        <v>17</v>
      </c>
      <c r="H24" s="313">
        <v>0</v>
      </c>
      <c r="I24" s="177">
        <v>15600</v>
      </c>
      <c r="J24" s="178">
        <v>15600</v>
      </c>
      <c r="K24" s="266"/>
      <c r="L24" s="1"/>
      <c r="M24" s="276">
        <v>15600</v>
      </c>
    </row>
    <row r="25" spans="1:13" x14ac:dyDescent="0.25">
      <c r="A25" s="339">
        <f t="shared" si="0"/>
        <v>19</v>
      </c>
      <c r="B25" s="1" t="s">
        <v>32</v>
      </c>
      <c r="C25" s="4" t="s">
        <v>389</v>
      </c>
      <c r="D25" s="70" t="s">
        <v>5</v>
      </c>
      <c r="E25" s="233">
        <v>3</v>
      </c>
      <c r="F25" s="233">
        <v>3</v>
      </c>
      <c r="G25" s="238">
        <v>0</v>
      </c>
      <c r="H25" s="309">
        <v>3000</v>
      </c>
      <c r="I25" s="177">
        <v>3000</v>
      </c>
      <c r="J25" s="178">
        <v>0</v>
      </c>
      <c r="K25" s="266"/>
      <c r="L25" s="1"/>
      <c r="M25" s="276">
        <v>0</v>
      </c>
    </row>
    <row r="26" spans="1:13" x14ac:dyDescent="0.25">
      <c r="A26" s="339">
        <f t="shared" si="0"/>
        <v>20</v>
      </c>
      <c r="B26" s="1" t="s">
        <v>33</v>
      </c>
      <c r="C26" s="4" t="s">
        <v>390</v>
      </c>
      <c r="D26" s="70" t="s">
        <v>5</v>
      </c>
      <c r="E26" s="233">
        <v>2173</v>
      </c>
      <c r="F26" s="233">
        <v>2186</v>
      </c>
      <c r="G26" s="238">
        <v>13</v>
      </c>
      <c r="H26" s="276">
        <v>18550</v>
      </c>
      <c r="I26" s="177">
        <v>12100</v>
      </c>
      <c r="J26" s="178">
        <v>30650</v>
      </c>
      <c r="K26" s="266"/>
      <c r="L26" s="1"/>
      <c r="M26" s="276">
        <v>30650</v>
      </c>
    </row>
    <row r="27" spans="1:13" x14ac:dyDescent="0.25">
      <c r="A27" s="339">
        <f t="shared" si="0"/>
        <v>21</v>
      </c>
      <c r="B27" s="248" t="s">
        <v>372</v>
      </c>
      <c r="C27" s="292" t="s">
        <v>391</v>
      </c>
      <c r="D27" s="250" t="s">
        <v>5</v>
      </c>
      <c r="E27" s="233">
        <v>1494</v>
      </c>
      <c r="F27" s="233">
        <v>1505</v>
      </c>
      <c r="G27" s="238">
        <v>11</v>
      </c>
      <c r="H27" s="276">
        <v>0</v>
      </c>
      <c r="I27" s="177">
        <v>10700</v>
      </c>
      <c r="J27" s="178">
        <v>10700</v>
      </c>
      <c r="K27" s="266">
        <v>10700</v>
      </c>
      <c r="L27" s="1" t="s">
        <v>434</v>
      </c>
      <c r="M27" s="276">
        <v>0</v>
      </c>
    </row>
    <row r="28" spans="1:13" x14ac:dyDescent="0.25">
      <c r="A28" s="339">
        <f t="shared" si="0"/>
        <v>22</v>
      </c>
      <c r="B28" s="1" t="s">
        <v>35</v>
      </c>
      <c r="C28" s="4" t="s">
        <v>340</v>
      </c>
      <c r="D28" s="70" t="s">
        <v>5</v>
      </c>
      <c r="E28" s="233">
        <v>88</v>
      </c>
      <c r="F28" s="233">
        <v>88</v>
      </c>
      <c r="G28" s="238">
        <v>0</v>
      </c>
      <c r="H28" s="276">
        <v>6000</v>
      </c>
      <c r="I28" s="177">
        <v>3000</v>
      </c>
      <c r="J28" s="178">
        <v>9000</v>
      </c>
      <c r="K28" s="266"/>
      <c r="L28" s="1"/>
      <c r="M28" s="276">
        <v>9000</v>
      </c>
    </row>
    <row r="29" spans="1:13" x14ac:dyDescent="0.25">
      <c r="A29" s="338">
        <f t="shared" si="0"/>
        <v>23</v>
      </c>
      <c r="B29" s="160" t="s">
        <v>36</v>
      </c>
      <c r="C29" s="161" t="s">
        <v>341</v>
      </c>
      <c r="D29" s="154" t="s">
        <v>5</v>
      </c>
      <c r="E29" s="246">
        <v>1822</v>
      </c>
      <c r="F29" s="246">
        <v>1835</v>
      </c>
      <c r="G29" s="237">
        <v>13</v>
      </c>
      <c r="H29" s="271">
        <v>20860</v>
      </c>
      <c r="I29" s="164">
        <v>6050</v>
      </c>
      <c r="J29" s="176">
        <v>26910</v>
      </c>
      <c r="K29" s="271">
        <v>26910</v>
      </c>
      <c r="L29" s="160" t="s">
        <v>376</v>
      </c>
      <c r="M29" s="271">
        <v>0</v>
      </c>
    </row>
    <row r="30" spans="1:13" x14ac:dyDescent="0.25">
      <c r="A30" s="339">
        <f t="shared" si="0"/>
        <v>24</v>
      </c>
      <c r="B30" s="1" t="s">
        <v>37</v>
      </c>
      <c r="C30" s="4" t="s">
        <v>342</v>
      </c>
      <c r="D30" s="70" t="s">
        <v>5</v>
      </c>
      <c r="E30" s="233">
        <v>600</v>
      </c>
      <c r="F30" s="233"/>
      <c r="G30" s="238" t="s">
        <v>457</v>
      </c>
      <c r="H30" s="276">
        <v>5100</v>
      </c>
      <c r="I30" s="177">
        <v>3000</v>
      </c>
      <c r="J30" s="178">
        <v>8100</v>
      </c>
      <c r="K30" s="266">
        <v>8100</v>
      </c>
      <c r="L30" s="1" t="s">
        <v>376</v>
      </c>
      <c r="M30" s="276">
        <v>0</v>
      </c>
    </row>
    <row r="31" spans="1:13" x14ac:dyDescent="0.25">
      <c r="A31" s="339">
        <f t="shared" si="0"/>
        <v>25</v>
      </c>
      <c r="B31" s="1" t="s">
        <v>38</v>
      </c>
      <c r="C31" s="4" t="s">
        <v>343</v>
      </c>
      <c r="D31" s="70" t="s">
        <v>5</v>
      </c>
      <c r="E31" s="233">
        <v>824</v>
      </c>
      <c r="F31" s="233">
        <v>838</v>
      </c>
      <c r="G31" s="238">
        <v>14</v>
      </c>
      <c r="H31" s="313">
        <v>0</v>
      </c>
      <c r="I31" s="177">
        <v>12800</v>
      </c>
      <c r="J31" s="306">
        <v>23490</v>
      </c>
      <c r="K31" s="266"/>
      <c r="L31" s="1"/>
      <c r="M31" s="232">
        <v>34180</v>
      </c>
    </row>
    <row r="32" spans="1:13" x14ac:dyDescent="0.25">
      <c r="A32" s="339">
        <f t="shared" si="0"/>
        <v>26</v>
      </c>
      <c r="B32" s="1" t="s">
        <v>39</v>
      </c>
      <c r="C32" s="4" t="s">
        <v>344</v>
      </c>
      <c r="D32" s="70" t="s">
        <v>5</v>
      </c>
      <c r="E32" s="233">
        <v>1924</v>
      </c>
      <c r="F32" s="233">
        <v>1933</v>
      </c>
      <c r="G32" s="238">
        <v>9</v>
      </c>
      <c r="H32" s="313">
        <v>22000</v>
      </c>
      <c r="I32" s="177">
        <v>9300</v>
      </c>
      <c r="J32" s="178">
        <v>31300</v>
      </c>
      <c r="K32" s="266">
        <v>31300</v>
      </c>
      <c r="L32" s="1" t="s">
        <v>434</v>
      </c>
      <c r="M32" s="276">
        <v>0</v>
      </c>
    </row>
    <row r="33" spans="1:13" x14ac:dyDescent="0.25">
      <c r="A33" s="339">
        <f t="shared" si="0"/>
        <v>27</v>
      </c>
      <c r="B33" s="1" t="s">
        <v>40</v>
      </c>
      <c r="C33" s="4" t="s">
        <v>345</v>
      </c>
      <c r="D33" s="70" t="s">
        <v>5</v>
      </c>
      <c r="E33" s="233">
        <v>3174</v>
      </c>
      <c r="F33" s="233">
        <v>3188</v>
      </c>
      <c r="G33" s="238">
        <v>14</v>
      </c>
      <c r="H33" s="276">
        <v>78250</v>
      </c>
      <c r="I33" s="177">
        <v>12800</v>
      </c>
      <c r="J33" s="178">
        <v>91050</v>
      </c>
      <c r="K33" s="266"/>
      <c r="L33" s="305"/>
      <c r="M33" s="276">
        <v>91050</v>
      </c>
    </row>
    <row r="34" spans="1:13" x14ac:dyDescent="0.25">
      <c r="A34" s="339">
        <f t="shared" si="0"/>
        <v>28</v>
      </c>
      <c r="B34" s="1" t="s">
        <v>41</v>
      </c>
      <c r="C34" s="4"/>
      <c r="D34" s="70" t="s">
        <v>5</v>
      </c>
      <c r="E34" s="233">
        <v>2472</v>
      </c>
      <c r="F34" s="233">
        <v>2489</v>
      </c>
      <c r="G34" s="238">
        <v>17</v>
      </c>
      <c r="H34" s="276">
        <v>4400</v>
      </c>
      <c r="I34" s="177">
        <v>15600</v>
      </c>
      <c r="J34" s="178">
        <v>20000</v>
      </c>
      <c r="K34" s="266"/>
      <c r="L34" s="1"/>
      <c r="M34" s="276">
        <v>20000</v>
      </c>
    </row>
    <row r="35" spans="1:13" x14ac:dyDescent="0.25">
      <c r="A35" s="339">
        <f t="shared" si="0"/>
        <v>29</v>
      </c>
      <c r="B35" s="1" t="s">
        <v>42</v>
      </c>
      <c r="C35" s="4" t="s">
        <v>346</v>
      </c>
      <c r="D35" s="70" t="s">
        <v>5</v>
      </c>
      <c r="E35" s="233">
        <v>3944</v>
      </c>
      <c r="F35" s="233">
        <v>3964</v>
      </c>
      <c r="G35" s="238">
        <v>20</v>
      </c>
      <c r="H35" s="276">
        <v>40000</v>
      </c>
      <c r="I35" s="177">
        <v>18750</v>
      </c>
      <c r="J35" s="178">
        <v>58750</v>
      </c>
      <c r="K35" s="266">
        <v>58750</v>
      </c>
      <c r="L35" s="1" t="s">
        <v>376</v>
      </c>
      <c r="M35" s="276">
        <v>0</v>
      </c>
    </row>
    <row r="36" spans="1:13" x14ac:dyDescent="0.25">
      <c r="A36" s="339">
        <f t="shared" si="0"/>
        <v>30</v>
      </c>
      <c r="B36" s="1" t="s">
        <v>43</v>
      </c>
      <c r="C36" s="4" t="s">
        <v>347</v>
      </c>
      <c r="D36" s="70" t="s">
        <v>5</v>
      </c>
      <c r="E36" s="233">
        <v>3106</v>
      </c>
      <c r="F36" s="233">
        <v>3159</v>
      </c>
      <c r="G36" s="238">
        <v>53</v>
      </c>
      <c r="H36" s="276">
        <v>16000</v>
      </c>
      <c r="I36" s="177">
        <v>61450</v>
      </c>
      <c r="J36" s="178">
        <v>77450</v>
      </c>
      <c r="K36" s="266">
        <v>77450</v>
      </c>
      <c r="L36" s="1" t="s">
        <v>434</v>
      </c>
      <c r="M36" s="276">
        <v>0</v>
      </c>
    </row>
    <row r="37" spans="1:13" x14ac:dyDescent="0.25">
      <c r="A37" s="339">
        <f t="shared" si="0"/>
        <v>31</v>
      </c>
      <c r="B37" s="1" t="s">
        <v>44</v>
      </c>
      <c r="C37" s="4" t="s">
        <v>348</v>
      </c>
      <c r="D37" s="70" t="s">
        <v>5</v>
      </c>
      <c r="E37" s="233">
        <v>4864</v>
      </c>
      <c r="F37" s="233">
        <v>4932</v>
      </c>
      <c r="G37" s="238">
        <v>68</v>
      </c>
      <c r="H37" s="310">
        <v>0</v>
      </c>
      <c r="I37" s="177">
        <v>82450</v>
      </c>
      <c r="J37" s="178">
        <v>82450</v>
      </c>
      <c r="K37" s="266"/>
      <c r="L37" s="1"/>
      <c r="M37" s="310">
        <v>82450</v>
      </c>
    </row>
    <row r="38" spans="1:13" x14ac:dyDescent="0.25">
      <c r="A38" s="339">
        <f t="shared" si="0"/>
        <v>32</v>
      </c>
      <c r="B38" s="248" t="s">
        <v>45</v>
      </c>
      <c r="C38" s="292" t="s">
        <v>392</v>
      </c>
      <c r="D38" s="250" t="s">
        <v>5</v>
      </c>
      <c r="E38" s="265">
        <v>780</v>
      </c>
      <c r="F38" s="265">
        <v>794</v>
      </c>
      <c r="G38" s="238">
        <v>14</v>
      </c>
      <c r="H38" s="276">
        <v>12500</v>
      </c>
      <c r="I38" s="177">
        <v>12800</v>
      </c>
      <c r="J38" s="178">
        <v>25300</v>
      </c>
      <c r="K38" s="266">
        <v>12500</v>
      </c>
      <c r="L38" s="1" t="s">
        <v>434</v>
      </c>
      <c r="M38" s="276">
        <v>12800</v>
      </c>
    </row>
    <row r="39" spans="1:13" x14ac:dyDescent="0.25">
      <c r="A39" s="339">
        <f t="shared" si="0"/>
        <v>33</v>
      </c>
      <c r="B39" s="248" t="s">
        <v>360</v>
      </c>
      <c r="C39" s="292" t="s">
        <v>393</v>
      </c>
      <c r="D39" s="250" t="s">
        <v>5</v>
      </c>
      <c r="E39" s="233">
        <v>4468</v>
      </c>
      <c r="F39" s="233">
        <v>4490</v>
      </c>
      <c r="G39" s="238">
        <v>22</v>
      </c>
      <c r="H39" s="276">
        <v>0</v>
      </c>
      <c r="I39" s="177">
        <v>20850</v>
      </c>
      <c r="J39" s="177">
        <v>20850</v>
      </c>
      <c r="K39" s="266"/>
      <c r="L39" s="1"/>
      <c r="M39" s="276">
        <v>20850</v>
      </c>
    </row>
    <row r="40" spans="1:13" x14ac:dyDescent="0.25">
      <c r="A40" s="339">
        <f t="shared" si="0"/>
        <v>34</v>
      </c>
      <c r="B40" s="248" t="s">
        <v>46</v>
      </c>
      <c r="C40" s="292" t="s">
        <v>394</v>
      </c>
      <c r="D40" s="250" t="s">
        <v>5</v>
      </c>
      <c r="E40" s="265">
        <v>2390</v>
      </c>
      <c r="F40" s="265">
        <v>1162</v>
      </c>
      <c r="G40" s="238">
        <v>54</v>
      </c>
      <c r="H40" s="276">
        <v>0</v>
      </c>
      <c r="I40" s="177">
        <v>62850</v>
      </c>
      <c r="J40" s="178">
        <v>62850</v>
      </c>
      <c r="K40" s="266">
        <v>62850</v>
      </c>
      <c r="L40" s="1" t="s">
        <v>376</v>
      </c>
      <c r="M40" s="276">
        <v>0</v>
      </c>
    </row>
    <row r="41" spans="1:13" x14ac:dyDescent="0.25">
      <c r="A41" s="339">
        <f t="shared" si="0"/>
        <v>35</v>
      </c>
      <c r="B41" s="1" t="s">
        <v>47</v>
      </c>
      <c r="C41" s="4" t="s">
        <v>395</v>
      </c>
      <c r="D41" s="70" t="s">
        <v>5</v>
      </c>
      <c r="E41" s="233">
        <v>4536</v>
      </c>
      <c r="F41" s="233">
        <v>4578</v>
      </c>
      <c r="G41" s="238">
        <v>42</v>
      </c>
      <c r="H41" s="276">
        <v>4400</v>
      </c>
      <c r="I41" s="177">
        <v>3000</v>
      </c>
      <c r="J41" s="177">
        <v>7400</v>
      </c>
      <c r="K41" s="266">
        <v>7400</v>
      </c>
      <c r="L41" s="1" t="s">
        <v>434</v>
      </c>
      <c r="M41" s="276">
        <v>0</v>
      </c>
    </row>
    <row r="42" spans="1:13" x14ac:dyDescent="0.25">
      <c r="A42" s="338">
        <f t="shared" si="0"/>
        <v>36</v>
      </c>
      <c r="B42" s="160" t="s">
        <v>48</v>
      </c>
      <c r="C42" s="161" t="s">
        <v>396</v>
      </c>
      <c r="D42" s="154" t="s">
        <v>5</v>
      </c>
      <c r="E42" s="246">
        <v>1108</v>
      </c>
      <c r="F42" s="246">
        <v>1120</v>
      </c>
      <c r="G42" s="237">
        <v>12</v>
      </c>
      <c r="H42" s="311">
        <v>18080</v>
      </c>
      <c r="I42" s="164">
        <v>5700</v>
      </c>
      <c r="J42" s="176">
        <v>23780</v>
      </c>
      <c r="K42" s="271"/>
      <c r="L42" s="160"/>
      <c r="M42" s="271">
        <v>23780</v>
      </c>
    </row>
    <row r="43" spans="1:13" x14ac:dyDescent="0.25">
      <c r="A43" s="338">
        <f t="shared" si="0"/>
        <v>37</v>
      </c>
      <c r="B43" s="160" t="s">
        <v>398</v>
      </c>
      <c r="C43" s="161" t="s">
        <v>397</v>
      </c>
      <c r="D43" s="154" t="s">
        <v>5</v>
      </c>
      <c r="E43" s="246">
        <v>2929</v>
      </c>
      <c r="F43" s="246">
        <v>2942</v>
      </c>
      <c r="G43" s="237">
        <v>13</v>
      </c>
      <c r="H43" s="271">
        <v>0</v>
      </c>
      <c r="I43" s="164">
        <v>6050</v>
      </c>
      <c r="J43" s="176">
        <v>6050</v>
      </c>
      <c r="K43" s="271">
        <v>6050</v>
      </c>
      <c r="L43" s="160" t="s">
        <v>434</v>
      </c>
      <c r="M43" s="271">
        <v>0</v>
      </c>
    </row>
    <row r="44" spans="1:13" x14ac:dyDescent="0.25">
      <c r="A44" s="339">
        <f t="shared" si="0"/>
        <v>38</v>
      </c>
      <c r="B44" s="1" t="s">
        <v>50</v>
      </c>
      <c r="C44" s="4" t="s">
        <v>400</v>
      </c>
      <c r="D44" s="70" t="s">
        <v>5</v>
      </c>
      <c r="E44" s="233">
        <v>2379</v>
      </c>
      <c r="F44" s="233">
        <v>2379</v>
      </c>
      <c r="G44" s="238">
        <v>0</v>
      </c>
      <c r="H44" s="276">
        <v>14800</v>
      </c>
      <c r="I44" s="177">
        <v>3000</v>
      </c>
      <c r="J44" s="178">
        <v>17800</v>
      </c>
      <c r="K44" s="266"/>
      <c r="L44" s="1"/>
      <c r="M44" s="276">
        <v>17800</v>
      </c>
    </row>
    <row r="45" spans="1:13" x14ac:dyDescent="0.25">
      <c r="A45" s="339">
        <f t="shared" si="0"/>
        <v>39</v>
      </c>
      <c r="B45" s="1" t="s">
        <v>51</v>
      </c>
      <c r="C45" s="4" t="s">
        <v>401</v>
      </c>
      <c r="D45" s="70" t="s">
        <v>5</v>
      </c>
      <c r="E45" s="233">
        <v>4327</v>
      </c>
      <c r="F45" s="233">
        <v>4418</v>
      </c>
      <c r="G45" s="238">
        <v>91</v>
      </c>
      <c r="H45" s="276">
        <v>0</v>
      </c>
      <c r="I45" s="177">
        <v>114650</v>
      </c>
      <c r="J45" s="178">
        <v>114650</v>
      </c>
      <c r="K45" s="266"/>
      <c r="L45" s="1"/>
      <c r="M45" s="276">
        <v>114650</v>
      </c>
    </row>
    <row r="46" spans="1:13" x14ac:dyDescent="0.25">
      <c r="A46" s="338">
        <f t="shared" si="0"/>
        <v>40</v>
      </c>
      <c r="B46" s="206" t="s">
        <v>365</v>
      </c>
      <c r="C46" s="207" t="s">
        <v>402</v>
      </c>
      <c r="D46" s="208" t="s">
        <v>5</v>
      </c>
      <c r="E46" s="264">
        <v>4150</v>
      </c>
      <c r="F46" s="264">
        <v>4201</v>
      </c>
      <c r="G46" s="237">
        <v>51</v>
      </c>
      <c r="H46" s="271">
        <v>0</v>
      </c>
      <c r="I46" s="164">
        <v>51900</v>
      </c>
      <c r="J46" s="164">
        <v>51900</v>
      </c>
      <c r="K46" s="271">
        <v>51900</v>
      </c>
      <c r="L46" s="160" t="s">
        <v>376</v>
      </c>
      <c r="M46" s="271">
        <v>0</v>
      </c>
    </row>
    <row r="47" spans="1:13" x14ac:dyDescent="0.25">
      <c r="A47" s="339">
        <f t="shared" si="0"/>
        <v>41</v>
      </c>
      <c r="B47" s="1" t="s">
        <v>444</v>
      </c>
      <c r="C47" s="4" t="s">
        <v>403</v>
      </c>
      <c r="D47" s="70" t="s">
        <v>5</v>
      </c>
      <c r="E47" s="233">
        <v>2335</v>
      </c>
      <c r="F47" s="233">
        <v>2373</v>
      </c>
      <c r="G47" s="238">
        <v>38</v>
      </c>
      <c r="H47" s="276">
        <v>0</v>
      </c>
      <c r="I47" s="177">
        <v>40450</v>
      </c>
      <c r="J47" s="178">
        <v>40450</v>
      </c>
      <c r="K47" s="266">
        <v>40450</v>
      </c>
      <c r="L47" s="1" t="s">
        <v>434</v>
      </c>
      <c r="M47" s="276">
        <v>0</v>
      </c>
    </row>
    <row r="48" spans="1:13" x14ac:dyDescent="0.25">
      <c r="A48" s="338">
        <f t="shared" si="0"/>
        <v>42</v>
      </c>
      <c r="B48" s="160" t="s">
        <v>54</v>
      </c>
      <c r="C48" s="161" t="s">
        <v>404</v>
      </c>
      <c r="D48" s="154" t="s">
        <v>5</v>
      </c>
      <c r="E48" s="246">
        <v>1689</v>
      </c>
      <c r="F48" s="246">
        <v>1702</v>
      </c>
      <c r="G48" s="237">
        <v>13</v>
      </c>
      <c r="H48" s="309">
        <v>5700</v>
      </c>
      <c r="I48" s="164">
        <v>6050</v>
      </c>
      <c r="J48" s="176">
        <v>7940</v>
      </c>
      <c r="K48" s="271">
        <v>7940</v>
      </c>
      <c r="L48" s="160" t="s">
        <v>434</v>
      </c>
      <c r="M48" s="276">
        <v>0</v>
      </c>
    </row>
    <row r="49" spans="1:13" x14ac:dyDescent="0.25">
      <c r="A49" s="339">
        <f t="shared" si="0"/>
        <v>43</v>
      </c>
      <c r="B49" s="248" t="s">
        <v>55</v>
      </c>
      <c r="C49" s="292" t="s">
        <v>405</v>
      </c>
      <c r="D49" s="250" t="s">
        <v>5</v>
      </c>
      <c r="E49" s="294">
        <v>1165</v>
      </c>
      <c r="F49" s="294">
        <v>1175</v>
      </c>
      <c r="G49" s="238">
        <v>10</v>
      </c>
      <c r="H49" s="276">
        <v>0</v>
      </c>
      <c r="I49" s="177">
        <v>10000</v>
      </c>
      <c r="J49" s="178">
        <v>10000</v>
      </c>
      <c r="K49" s="266">
        <v>10000</v>
      </c>
      <c r="L49" s="1" t="s">
        <v>434</v>
      </c>
      <c r="M49" s="276">
        <v>0</v>
      </c>
    </row>
    <row r="50" spans="1:13" x14ac:dyDescent="0.25">
      <c r="A50" s="339">
        <f t="shared" si="0"/>
        <v>44</v>
      </c>
      <c r="B50" s="1" t="s">
        <v>56</v>
      </c>
      <c r="C50" s="5" t="s">
        <v>406</v>
      </c>
      <c r="D50" s="70" t="s">
        <v>5</v>
      </c>
      <c r="E50" s="233">
        <v>426</v>
      </c>
      <c r="F50" s="233">
        <v>437</v>
      </c>
      <c r="G50" s="238">
        <v>11</v>
      </c>
      <c r="H50" s="312">
        <v>17000</v>
      </c>
      <c r="I50" s="177">
        <v>10700</v>
      </c>
      <c r="J50" s="178">
        <v>27700</v>
      </c>
      <c r="K50" s="266">
        <v>17000</v>
      </c>
      <c r="L50" s="1" t="s">
        <v>434</v>
      </c>
      <c r="M50" s="312">
        <v>10700</v>
      </c>
    </row>
    <row r="51" spans="1:13" x14ac:dyDescent="0.25">
      <c r="A51" s="338">
        <f t="shared" si="0"/>
        <v>45</v>
      </c>
      <c r="B51" s="160" t="s">
        <v>57</v>
      </c>
      <c r="C51" s="161" t="s">
        <v>407</v>
      </c>
      <c r="D51" s="154" t="s">
        <v>5</v>
      </c>
      <c r="E51" s="246">
        <v>3820</v>
      </c>
      <c r="F51" s="246">
        <v>3837</v>
      </c>
      <c r="G51" s="237">
        <v>17</v>
      </c>
      <c r="H51" s="271">
        <v>0</v>
      </c>
      <c r="I51" s="164">
        <v>8850</v>
      </c>
      <c r="J51" s="176">
        <v>8850</v>
      </c>
      <c r="K51" s="271"/>
      <c r="L51" s="160"/>
      <c r="M51" s="271">
        <v>8850</v>
      </c>
    </row>
    <row r="52" spans="1:13" x14ac:dyDescent="0.25">
      <c r="A52" s="339">
        <f t="shared" si="0"/>
        <v>46</v>
      </c>
      <c r="B52" s="1" t="s">
        <v>350</v>
      </c>
      <c r="C52" s="4"/>
      <c r="D52" s="70" t="s">
        <v>5</v>
      </c>
      <c r="E52" s="233">
        <v>1057</v>
      </c>
      <c r="F52" s="233">
        <v>1060</v>
      </c>
      <c r="G52" s="238">
        <v>3</v>
      </c>
      <c r="H52" s="276">
        <v>0</v>
      </c>
      <c r="I52" s="177">
        <v>5100</v>
      </c>
      <c r="J52" s="178">
        <v>5100</v>
      </c>
      <c r="K52" s="266"/>
      <c r="L52" s="1"/>
      <c r="M52" s="276">
        <v>5100</v>
      </c>
    </row>
    <row r="53" spans="1:13" x14ac:dyDescent="0.25">
      <c r="A53" s="339">
        <f t="shared" si="0"/>
        <v>47</v>
      </c>
      <c r="B53" s="1" t="s">
        <v>59</v>
      </c>
      <c r="C53" s="4" t="s">
        <v>408</v>
      </c>
      <c r="D53" s="70" t="s">
        <v>5</v>
      </c>
      <c r="E53" s="233">
        <v>530</v>
      </c>
      <c r="F53" s="233">
        <v>547</v>
      </c>
      <c r="G53" s="238">
        <v>17</v>
      </c>
      <c r="H53" s="276">
        <v>0</v>
      </c>
      <c r="I53" s="177">
        <v>15600</v>
      </c>
      <c r="J53" s="177">
        <v>15600</v>
      </c>
      <c r="K53" s="266">
        <v>15600</v>
      </c>
      <c r="L53" s="1" t="s">
        <v>434</v>
      </c>
      <c r="M53" s="276">
        <v>0</v>
      </c>
    </row>
    <row r="54" spans="1:13" x14ac:dyDescent="0.25">
      <c r="A54" s="339">
        <f t="shared" si="0"/>
        <v>48</v>
      </c>
      <c r="B54" s="179" t="s">
        <v>60</v>
      </c>
      <c r="C54" s="210" t="s">
        <v>409</v>
      </c>
      <c r="D54" s="181" t="s">
        <v>5</v>
      </c>
      <c r="E54" s="233">
        <v>3500</v>
      </c>
      <c r="F54" s="233">
        <v>3545</v>
      </c>
      <c r="G54" s="238">
        <v>45</v>
      </c>
      <c r="H54" s="276">
        <v>0</v>
      </c>
      <c r="I54" s="177">
        <v>50250</v>
      </c>
      <c r="J54" s="178">
        <v>50250</v>
      </c>
      <c r="K54" s="266">
        <v>50250</v>
      </c>
      <c r="L54" s="1" t="s">
        <v>434</v>
      </c>
      <c r="M54" s="276">
        <v>0</v>
      </c>
    </row>
    <row r="55" spans="1:13" x14ac:dyDescent="0.25">
      <c r="A55" s="339">
        <f>A54+1</f>
        <v>49</v>
      </c>
      <c r="B55" s="1" t="s">
        <v>351</v>
      </c>
      <c r="C55" s="4" t="s">
        <v>410</v>
      </c>
      <c r="D55" s="70" t="s">
        <v>5</v>
      </c>
      <c r="E55" s="233">
        <v>2376</v>
      </c>
      <c r="F55" s="233">
        <v>2375</v>
      </c>
      <c r="G55" s="238" t="s">
        <v>457</v>
      </c>
      <c r="H55" s="276">
        <v>0</v>
      </c>
      <c r="I55" s="177">
        <v>3000</v>
      </c>
      <c r="J55" s="178">
        <v>3000</v>
      </c>
      <c r="K55" s="266"/>
      <c r="L55" s="1"/>
      <c r="M55" s="276">
        <v>3000</v>
      </c>
    </row>
    <row r="56" spans="1:13" x14ac:dyDescent="0.25">
      <c r="A56" s="339">
        <f t="shared" ref="A56:A63" si="1">A55+1</f>
        <v>50</v>
      </c>
      <c r="B56" s="1" t="s">
        <v>61</v>
      </c>
      <c r="C56" s="4" t="s">
        <v>411</v>
      </c>
      <c r="D56" s="70" t="s">
        <v>5</v>
      </c>
      <c r="E56" s="233">
        <v>716</v>
      </c>
      <c r="F56" s="233">
        <v>729</v>
      </c>
      <c r="G56" s="238">
        <v>13</v>
      </c>
      <c r="H56" s="309">
        <v>700</v>
      </c>
      <c r="I56" s="177">
        <v>12100</v>
      </c>
      <c r="J56" s="178">
        <v>11400</v>
      </c>
      <c r="K56" s="266">
        <v>11400</v>
      </c>
      <c r="L56" s="1" t="s">
        <v>434</v>
      </c>
      <c r="M56" s="276">
        <v>0</v>
      </c>
    </row>
    <row r="57" spans="1:13" x14ac:dyDescent="0.25">
      <c r="A57" s="339">
        <f t="shared" si="1"/>
        <v>51</v>
      </c>
      <c r="B57" s="1" t="s">
        <v>62</v>
      </c>
      <c r="C57" s="4" t="s">
        <v>412</v>
      </c>
      <c r="D57" s="70" t="s">
        <v>5</v>
      </c>
      <c r="E57" s="233">
        <v>1780</v>
      </c>
      <c r="F57" s="233">
        <v>1795</v>
      </c>
      <c r="G57" s="238">
        <v>15</v>
      </c>
      <c r="H57" s="313">
        <v>22300</v>
      </c>
      <c r="I57" s="177">
        <v>13500</v>
      </c>
      <c r="J57" s="178">
        <v>35800</v>
      </c>
      <c r="K57" s="266">
        <v>32000</v>
      </c>
      <c r="L57" s="1" t="s">
        <v>435</v>
      </c>
      <c r="M57" s="276">
        <v>3800</v>
      </c>
    </row>
    <row r="58" spans="1:13" x14ac:dyDescent="0.25">
      <c r="A58" s="339">
        <f t="shared" si="1"/>
        <v>52</v>
      </c>
      <c r="B58" s="1" t="s">
        <v>63</v>
      </c>
      <c r="C58" s="162" t="s">
        <v>413</v>
      </c>
      <c r="D58" s="70" t="s">
        <v>5</v>
      </c>
      <c r="E58" s="233">
        <v>1507</v>
      </c>
      <c r="F58" s="233">
        <v>1531</v>
      </c>
      <c r="G58" s="238">
        <v>24</v>
      </c>
      <c r="H58" s="276">
        <v>42580</v>
      </c>
      <c r="I58" s="177">
        <v>22950</v>
      </c>
      <c r="J58" s="178">
        <v>88970</v>
      </c>
      <c r="K58" s="266"/>
      <c r="L58" s="1"/>
      <c r="M58" s="276">
        <v>88970</v>
      </c>
    </row>
    <row r="59" spans="1:13" x14ac:dyDescent="0.25">
      <c r="A59" s="339">
        <f t="shared" si="1"/>
        <v>53</v>
      </c>
      <c r="B59" s="1" t="s">
        <v>64</v>
      </c>
      <c r="C59" s="4" t="s">
        <v>414</v>
      </c>
      <c r="D59" s="70" t="s">
        <v>5</v>
      </c>
      <c r="E59" s="233">
        <v>731</v>
      </c>
      <c r="F59" s="233">
        <v>737</v>
      </c>
      <c r="G59" s="238">
        <v>6</v>
      </c>
      <c r="H59" s="276">
        <v>0</v>
      </c>
      <c r="I59" s="177">
        <v>7200</v>
      </c>
      <c r="J59" s="178">
        <v>7200</v>
      </c>
      <c r="K59" s="266">
        <v>7200</v>
      </c>
      <c r="L59" s="1" t="s">
        <v>376</v>
      </c>
      <c r="M59" s="276">
        <v>0</v>
      </c>
    </row>
    <row r="60" spans="1:13" x14ac:dyDescent="0.25">
      <c r="A60" s="339">
        <f t="shared" si="1"/>
        <v>54</v>
      </c>
      <c r="B60" s="1" t="s">
        <v>65</v>
      </c>
      <c r="C60" s="4" t="s">
        <v>415</v>
      </c>
      <c r="D60" s="70" t="s">
        <v>5</v>
      </c>
      <c r="E60" s="233">
        <v>1390</v>
      </c>
      <c r="F60" s="233">
        <v>1403</v>
      </c>
      <c r="G60" s="238">
        <v>13</v>
      </c>
      <c r="H60" s="276">
        <v>0</v>
      </c>
      <c r="I60" s="177">
        <v>12100</v>
      </c>
      <c r="J60" s="178">
        <v>12100</v>
      </c>
      <c r="K60" s="266">
        <v>12100</v>
      </c>
      <c r="L60" s="1" t="s">
        <v>434</v>
      </c>
      <c r="M60" s="276">
        <v>0</v>
      </c>
    </row>
    <row r="61" spans="1:13" x14ac:dyDescent="0.25">
      <c r="A61" s="339">
        <f t="shared" si="1"/>
        <v>55</v>
      </c>
      <c r="B61" s="1" t="s">
        <v>66</v>
      </c>
      <c r="C61" s="4" t="s">
        <v>416</v>
      </c>
      <c r="D61" s="70" t="s">
        <v>5</v>
      </c>
      <c r="E61" s="233">
        <v>6300</v>
      </c>
      <c r="F61" s="233">
        <v>6304</v>
      </c>
      <c r="G61" s="238">
        <v>4</v>
      </c>
      <c r="H61" s="276">
        <v>0</v>
      </c>
      <c r="I61" s="177">
        <v>5800</v>
      </c>
      <c r="J61" s="178">
        <v>5800</v>
      </c>
      <c r="K61" s="266">
        <v>5800</v>
      </c>
      <c r="L61" s="1" t="s">
        <v>434</v>
      </c>
      <c r="M61" s="276">
        <v>0</v>
      </c>
    </row>
    <row r="62" spans="1:13" x14ac:dyDescent="0.25">
      <c r="A62" s="339">
        <f t="shared" si="1"/>
        <v>56</v>
      </c>
      <c r="B62" s="179" t="s">
        <v>67</v>
      </c>
      <c r="C62" s="210" t="s">
        <v>417</v>
      </c>
      <c r="D62" s="181" t="s">
        <v>5</v>
      </c>
      <c r="E62" s="294">
        <v>967</v>
      </c>
      <c r="F62" s="294">
        <v>988</v>
      </c>
      <c r="G62" s="238">
        <v>21</v>
      </c>
      <c r="H62" s="276">
        <v>16000</v>
      </c>
      <c r="I62" s="177">
        <v>19800</v>
      </c>
      <c r="J62" s="178">
        <v>35800</v>
      </c>
      <c r="K62" s="266">
        <v>35800</v>
      </c>
      <c r="L62" s="1" t="s">
        <v>434</v>
      </c>
      <c r="M62" s="276">
        <v>0</v>
      </c>
    </row>
    <row r="63" spans="1:13" x14ac:dyDescent="0.25">
      <c r="A63" s="339">
        <f t="shared" si="1"/>
        <v>57</v>
      </c>
      <c r="B63" s="1" t="s">
        <v>368</v>
      </c>
      <c r="C63" s="4" t="s">
        <v>418</v>
      </c>
      <c r="D63" s="70" t="s">
        <v>5</v>
      </c>
      <c r="E63" s="233">
        <v>763</v>
      </c>
      <c r="F63" s="233">
        <v>780</v>
      </c>
      <c r="G63" s="238">
        <v>17</v>
      </c>
      <c r="H63" s="276">
        <v>0</v>
      </c>
      <c r="I63" s="177">
        <v>15600</v>
      </c>
      <c r="J63" s="178">
        <v>15600</v>
      </c>
      <c r="K63" s="266">
        <v>15600</v>
      </c>
      <c r="L63" s="1" t="s">
        <v>434</v>
      </c>
      <c r="M63" s="276">
        <v>0</v>
      </c>
    </row>
    <row r="64" spans="1:13" x14ac:dyDescent="0.25">
      <c r="A64" s="339">
        <v>58</v>
      </c>
      <c r="B64" s="1" t="s">
        <v>69</v>
      </c>
      <c r="C64" s="4" t="s">
        <v>90</v>
      </c>
      <c r="D64" s="70" t="s">
        <v>5</v>
      </c>
      <c r="E64" s="233">
        <v>1436</v>
      </c>
      <c r="F64" s="233">
        <v>1462</v>
      </c>
      <c r="G64" s="238">
        <v>26</v>
      </c>
      <c r="H64" s="276">
        <v>0</v>
      </c>
      <c r="I64" s="177">
        <v>25050</v>
      </c>
      <c r="J64" s="178">
        <v>25050</v>
      </c>
      <c r="K64" s="254">
        <v>25050</v>
      </c>
      <c r="L64" s="1" t="s">
        <v>434</v>
      </c>
      <c r="M64" s="276">
        <v>0</v>
      </c>
    </row>
    <row r="65" spans="1:13" x14ac:dyDescent="0.25">
      <c r="A65" s="339">
        <v>59</v>
      </c>
      <c r="B65" s="179" t="s">
        <v>70</v>
      </c>
      <c r="C65" s="211" t="s">
        <v>419</v>
      </c>
      <c r="D65" s="181" t="s">
        <v>5</v>
      </c>
      <c r="E65" s="233">
        <v>221</v>
      </c>
      <c r="F65" s="233">
        <v>230</v>
      </c>
      <c r="G65" s="238">
        <v>9</v>
      </c>
      <c r="H65" s="276">
        <v>3000</v>
      </c>
      <c r="I65" s="177">
        <v>9300</v>
      </c>
      <c r="J65" s="178">
        <v>12300</v>
      </c>
      <c r="K65" s="266">
        <v>12300</v>
      </c>
      <c r="L65" s="1" t="s">
        <v>434</v>
      </c>
      <c r="M65" s="276">
        <v>0</v>
      </c>
    </row>
    <row r="66" spans="1:13" x14ac:dyDescent="0.25">
      <c r="A66" s="339">
        <v>60</v>
      </c>
      <c r="B66" s="179" t="s">
        <v>431</v>
      </c>
      <c r="C66" s="210" t="s">
        <v>89</v>
      </c>
      <c r="D66" s="181" t="s">
        <v>5</v>
      </c>
      <c r="E66" s="265">
        <v>3054</v>
      </c>
      <c r="F66" s="265">
        <v>3246</v>
      </c>
      <c r="G66" s="238" t="s">
        <v>457</v>
      </c>
      <c r="H66" s="276">
        <v>3000</v>
      </c>
      <c r="I66" s="177">
        <v>3000</v>
      </c>
      <c r="J66" s="178">
        <v>6000</v>
      </c>
      <c r="K66" s="266"/>
      <c r="L66" s="1"/>
      <c r="M66" s="276">
        <v>6000</v>
      </c>
    </row>
    <row r="67" spans="1:13" x14ac:dyDescent="0.25">
      <c r="A67" s="339">
        <v>61</v>
      </c>
      <c r="B67" s="1" t="s">
        <v>72</v>
      </c>
      <c r="C67" s="4" t="s">
        <v>88</v>
      </c>
      <c r="D67" s="70" t="s">
        <v>5</v>
      </c>
      <c r="E67" s="233">
        <v>8947</v>
      </c>
      <c r="F67" s="233">
        <v>9380</v>
      </c>
      <c r="G67" s="238">
        <v>433</v>
      </c>
      <c r="H67" s="276">
        <v>0</v>
      </c>
      <c r="I67" s="177">
        <v>402100</v>
      </c>
      <c r="J67" s="178">
        <v>402100</v>
      </c>
      <c r="K67" s="266">
        <v>402100</v>
      </c>
      <c r="L67" s="1" t="s">
        <v>434</v>
      </c>
      <c r="M67" s="276">
        <v>0</v>
      </c>
    </row>
    <row r="68" spans="1:13" x14ac:dyDescent="0.25">
      <c r="A68" s="339">
        <v>62</v>
      </c>
      <c r="B68" s="1" t="s">
        <v>73</v>
      </c>
      <c r="C68" s="4" t="s">
        <v>87</v>
      </c>
      <c r="D68" s="70" t="s">
        <v>5</v>
      </c>
      <c r="E68" s="233">
        <v>149</v>
      </c>
      <c r="F68" s="233">
        <v>167</v>
      </c>
      <c r="G68" s="238">
        <v>18</v>
      </c>
      <c r="H68" s="276">
        <v>7200</v>
      </c>
      <c r="I68" s="177">
        <v>16650</v>
      </c>
      <c r="J68" s="178">
        <v>23850</v>
      </c>
      <c r="K68" s="266"/>
      <c r="L68" s="1"/>
      <c r="M68" s="276">
        <v>23850</v>
      </c>
    </row>
    <row r="69" spans="1:13" x14ac:dyDescent="0.25">
      <c r="A69" s="339">
        <v>63</v>
      </c>
      <c r="B69" s="1" t="s">
        <v>74</v>
      </c>
      <c r="C69" s="4" t="s">
        <v>86</v>
      </c>
      <c r="D69" s="70" t="s">
        <v>5</v>
      </c>
      <c r="E69" s="233">
        <v>22</v>
      </c>
      <c r="F69" s="233">
        <v>22</v>
      </c>
      <c r="G69" s="238">
        <v>0</v>
      </c>
      <c r="H69" s="276">
        <v>6100</v>
      </c>
      <c r="I69" s="177">
        <v>3000</v>
      </c>
      <c r="J69" s="178">
        <v>9100</v>
      </c>
      <c r="K69" s="266"/>
      <c r="L69" s="1"/>
      <c r="M69" s="276">
        <v>9100</v>
      </c>
    </row>
    <row r="70" spans="1:13" x14ac:dyDescent="0.25">
      <c r="A70" s="339">
        <v>64</v>
      </c>
      <c r="B70" s="1" t="s">
        <v>369</v>
      </c>
      <c r="C70" s="4" t="s">
        <v>85</v>
      </c>
      <c r="D70" s="70" t="s">
        <v>5</v>
      </c>
      <c r="E70" s="233">
        <v>78</v>
      </c>
      <c r="F70" s="233">
        <v>92</v>
      </c>
      <c r="G70" s="238">
        <v>14</v>
      </c>
      <c r="H70" s="276">
        <v>0</v>
      </c>
      <c r="I70" s="177">
        <v>12800</v>
      </c>
      <c r="J70" s="178">
        <v>12800</v>
      </c>
      <c r="K70" s="266"/>
      <c r="L70" s="1"/>
      <c r="M70" s="276">
        <v>12800</v>
      </c>
    </row>
    <row r="71" spans="1:13" x14ac:dyDescent="0.25">
      <c r="A71" s="339">
        <v>65</v>
      </c>
      <c r="B71" s="1" t="s">
        <v>75</v>
      </c>
      <c r="C71" s="4" t="s">
        <v>83</v>
      </c>
      <c r="D71" s="70" t="s">
        <v>5</v>
      </c>
      <c r="E71" s="233">
        <v>2926</v>
      </c>
      <c r="F71" s="233">
        <v>2985</v>
      </c>
      <c r="G71" s="238">
        <v>59</v>
      </c>
      <c r="H71" s="309">
        <v>50</v>
      </c>
      <c r="I71" s="177">
        <v>69850</v>
      </c>
      <c r="J71" s="178">
        <v>69800</v>
      </c>
      <c r="K71" s="266"/>
      <c r="L71" s="1"/>
      <c r="M71" s="276">
        <v>69800</v>
      </c>
    </row>
    <row r="72" spans="1:13" x14ac:dyDescent="0.25">
      <c r="A72" s="339">
        <v>66</v>
      </c>
      <c r="B72" s="1" t="s">
        <v>76</v>
      </c>
      <c r="C72" s="4" t="s">
        <v>82</v>
      </c>
      <c r="D72" s="70" t="s">
        <v>5</v>
      </c>
      <c r="E72" s="233">
        <v>1277</v>
      </c>
      <c r="F72" s="233">
        <v>1292</v>
      </c>
      <c r="G72" s="238">
        <v>15</v>
      </c>
      <c r="H72" s="276">
        <v>0</v>
      </c>
      <c r="I72" s="177">
        <v>15750</v>
      </c>
      <c r="J72" s="178">
        <v>15750</v>
      </c>
      <c r="K72" s="266"/>
      <c r="L72" s="1"/>
      <c r="M72" s="276">
        <v>15750</v>
      </c>
    </row>
    <row r="73" spans="1:13" x14ac:dyDescent="0.25">
      <c r="A73" s="339">
        <v>67</v>
      </c>
      <c r="B73" s="179" t="s">
        <v>77</v>
      </c>
      <c r="C73" s="210" t="s">
        <v>6</v>
      </c>
      <c r="D73" s="181" t="s">
        <v>5</v>
      </c>
      <c r="E73" s="233">
        <v>1739</v>
      </c>
      <c r="F73" s="233">
        <v>1739</v>
      </c>
      <c r="G73" s="238">
        <v>0</v>
      </c>
      <c r="H73" s="276">
        <v>9000</v>
      </c>
      <c r="I73" s="177">
        <v>3000</v>
      </c>
      <c r="J73" s="178">
        <v>12000</v>
      </c>
      <c r="K73" s="266"/>
      <c r="L73" s="1"/>
      <c r="M73" s="276">
        <v>12000</v>
      </c>
    </row>
    <row r="74" spans="1:13" x14ac:dyDescent="0.25">
      <c r="A74" s="339">
        <v>68</v>
      </c>
      <c r="B74" s="1" t="s">
        <v>78</v>
      </c>
      <c r="C74" s="4" t="s">
        <v>79</v>
      </c>
      <c r="D74" s="70" t="s">
        <v>5</v>
      </c>
      <c r="E74" s="233">
        <v>1399</v>
      </c>
      <c r="F74" s="233">
        <v>1423</v>
      </c>
      <c r="G74" s="238">
        <v>24</v>
      </c>
      <c r="H74" s="276">
        <v>0</v>
      </c>
      <c r="I74" s="177">
        <v>22950</v>
      </c>
      <c r="J74" s="178">
        <v>22950</v>
      </c>
      <c r="K74" s="266">
        <v>22950</v>
      </c>
      <c r="L74" s="1" t="s">
        <v>434</v>
      </c>
      <c r="M74" s="276">
        <v>0</v>
      </c>
    </row>
    <row r="75" spans="1:13" x14ac:dyDescent="0.25">
      <c r="A75" s="339">
        <v>69</v>
      </c>
      <c r="B75" s="1" t="s">
        <v>80</v>
      </c>
      <c r="C75" s="4" t="s">
        <v>81</v>
      </c>
      <c r="D75" s="70" t="s">
        <v>5</v>
      </c>
      <c r="E75" s="233">
        <v>63</v>
      </c>
      <c r="F75" s="233">
        <v>63</v>
      </c>
      <c r="G75" s="238">
        <v>0</v>
      </c>
      <c r="H75" s="276">
        <v>0</v>
      </c>
      <c r="I75" s="177">
        <v>3000</v>
      </c>
      <c r="J75" s="177">
        <v>3000</v>
      </c>
      <c r="K75" s="266"/>
      <c r="L75" s="1"/>
      <c r="M75" s="276">
        <v>3000</v>
      </c>
    </row>
    <row r="76" spans="1:13" x14ac:dyDescent="0.25">
      <c r="A76" s="339">
        <v>70</v>
      </c>
      <c r="B76" s="9" t="s">
        <v>445</v>
      </c>
      <c r="C76" s="230" t="s">
        <v>447</v>
      </c>
      <c r="D76" s="70" t="s">
        <v>5</v>
      </c>
      <c r="E76" s="233">
        <v>0</v>
      </c>
      <c r="F76" s="233">
        <v>0</v>
      </c>
      <c r="G76" s="233">
        <v>0</v>
      </c>
      <c r="H76" s="276">
        <v>25000</v>
      </c>
      <c r="I76" s="266">
        <v>3000</v>
      </c>
      <c r="J76" s="266">
        <v>28000</v>
      </c>
      <c r="K76" s="266">
        <v>28000</v>
      </c>
      <c r="L76" s="1" t="s">
        <v>434</v>
      </c>
      <c r="M76" s="276">
        <v>0</v>
      </c>
    </row>
    <row r="77" spans="1:13" x14ac:dyDescent="0.25">
      <c r="A77" s="339">
        <v>71</v>
      </c>
      <c r="B77" s="9" t="s">
        <v>446</v>
      </c>
      <c r="C77" s="4" t="s">
        <v>448</v>
      </c>
      <c r="D77" s="70" t="s">
        <v>5</v>
      </c>
      <c r="E77" s="233">
        <v>12</v>
      </c>
      <c r="F77" s="233">
        <v>39</v>
      </c>
      <c r="G77" s="233">
        <v>27</v>
      </c>
      <c r="H77" s="276">
        <v>0</v>
      </c>
      <c r="I77" s="266">
        <v>26100</v>
      </c>
      <c r="J77" s="266">
        <v>26100</v>
      </c>
      <c r="K77" s="266">
        <v>26100</v>
      </c>
      <c r="L77" s="1" t="s">
        <v>434</v>
      </c>
      <c r="M77" s="276">
        <v>0</v>
      </c>
    </row>
    <row r="78" spans="1:13" x14ac:dyDescent="0.25">
      <c r="A78" s="340">
        <v>72</v>
      </c>
      <c r="B78" s="9" t="s">
        <v>453</v>
      </c>
      <c r="C78" s="186" t="s">
        <v>452</v>
      </c>
      <c r="D78" s="70" t="s">
        <v>5</v>
      </c>
      <c r="E78" s="258"/>
      <c r="F78" s="258"/>
      <c r="G78" s="258"/>
      <c r="H78" s="307">
        <v>13335</v>
      </c>
      <c r="I78" s="296">
        <v>13335</v>
      </c>
      <c r="J78" s="266">
        <v>13335</v>
      </c>
      <c r="K78" s="266"/>
      <c r="L78" s="1"/>
      <c r="M78" s="276">
        <v>13335</v>
      </c>
    </row>
    <row r="79" spans="1:13" ht="15.75" thickBot="1" x14ac:dyDescent="0.3">
      <c r="A79" s="341"/>
      <c r="B79" s="143"/>
      <c r="C79" s="260"/>
      <c r="D79" s="260"/>
      <c r="E79" s="261"/>
      <c r="F79" s="262"/>
      <c r="G79" s="262"/>
      <c r="H79" s="261"/>
      <c r="I79" s="263"/>
      <c r="K79" s="269"/>
    </row>
    <row r="80" spans="1:13" x14ac:dyDescent="0.25">
      <c r="A80" s="378" t="s">
        <v>8</v>
      </c>
      <c r="B80" s="378"/>
      <c r="C80" s="378"/>
      <c r="D80" s="132"/>
      <c r="E80" s="151"/>
      <c r="F80" s="236"/>
      <c r="G80" s="236"/>
      <c r="H80" s="131"/>
      <c r="I80" s="131"/>
      <c r="J80" s="133"/>
      <c r="K80" s="269"/>
    </row>
    <row r="81" spans="1:13" x14ac:dyDescent="0.25">
      <c r="A81" s="337" t="s">
        <v>3</v>
      </c>
      <c r="B81" s="128" t="s">
        <v>0</v>
      </c>
      <c r="C81" s="128" t="s">
        <v>1</v>
      </c>
      <c r="D81" s="129" t="s">
        <v>2</v>
      </c>
      <c r="E81" s="129" t="s">
        <v>439</v>
      </c>
      <c r="F81" s="235" t="s">
        <v>337</v>
      </c>
      <c r="G81" s="235" t="s">
        <v>10</v>
      </c>
      <c r="H81" s="129" t="s">
        <v>356</v>
      </c>
      <c r="I81" s="129" t="s">
        <v>357</v>
      </c>
      <c r="J81" s="128" t="s">
        <v>11</v>
      </c>
      <c r="K81" s="270" t="s">
        <v>12</v>
      </c>
      <c r="L81" s="129" t="s">
        <v>355</v>
      </c>
      <c r="M81" s="308" t="s">
        <v>13</v>
      </c>
    </row>
    <row r="82" spans="1:13" x14ac:dyDescent="0.25">
      <c r="A82" s="342">
        <v>1</v>
      </c>
      <c r="B82" s="206" t="s">
        <v>102</v>
      </c>
      <c r="C82" s="220" t="s">
        <v>103</v>
      </c>
      <c r="D82" s="208" t="s">
        <v>334</v>
      </c>
      <c r="E82" s="240">
        <v>61</v>
      </c>
      <c r="F82" s="240">
        <v>96</v>
      </c>
      <c r="G82" s="240">
        <v>35</v>
      </c>
      <c r="H82" s="272">
        <v>22750</v>
      </c>
      <c r="I82" s="223">
        <v>29500</v>
      </c>
      <c r="J82" s="223">
        <v>52250</v>
      </c>
      <c r="K82" s="272">
        <v>52250</v>
      </c>
      <c r="L82" s="206" t="s">
        <v>424</v>
      </c>
      <c r="M82" s="272">
        <v>0</v>
      </c>
    </row>
    <row r="83" spans="1:13" x14ac:dyDescent="0.25">
      <c r="A83" s="339">
        <f t="shared" ref="A83:A92" si="2">A82+1</f>
        <v>2</v>
      </c>
      <c r="B83" s="185" t="s">
        <v>370</v>
      </c>
      <c r="C83" s="58"/>
      <c r="D83" s="70" t="s">
        <v>334</v>
      </c>
      <c r="E83" s="234">
        <v>2763</v>
      </c>
      <c r="F83" s="234">
        <v>2793</v>
      </c>
      <c r="G83" s="234">
        <v>30</v>
      </c>
      <c r="H83" s="276">
        <v>0</v>
      </c>
      <c r="I83" s="178">
        <v>29250</v>
      </c>
      <c r="J83" s="178">
        <v>29250</v>
      </c>
      <c r="K83" s="266"/>
      <c r="L83" s="1"/>
      <c r="M83" s="276"/>
    </row>
    <row r="84" spans="1:13" x14ac:dyDescent="0.25">
      <c r="A84" s="339">
        <f t="shared" si="2"/>
        <v>3</v>
      </c>
      <c r="B84" s="185" t="s">
        <v>459</v>
      </c>
      <c r="C84" s="58" t="s">
        <v>106</v>
      </c>
      <c r="D84" s="70" t="s">
        <v>335</v>
      </c>
      <c r="E84" s="234">
        <v>542</v>
      </c>
      <c r="F84" s="234">
        <v>570</v>
      </c>
      <c r="G84" s="234">
        <v>28</v>
      </c>
      <c r="H84" s="276">
        <v>0</v>
      </c>
      <c r="I84" s="178">
        <v>27150</v>
      </c>
      <c r="J84" s="178">
        <v>27150</v>
      </c>
      <c r="K84" s="266">
        <v>27150</v>
      </c>
      <c r="L84" s="1" t="s">
        <v>434</v>
      </c>
      <c r="M84" s="276">
        <v>0</v>
      </c>
    </row>
    <row r="85" spans="1:13" x14ac:dyDescent="0.25">
      <c r="A85" s="339">
        <f t="shared" si="2"/>
        <v>4</v>
      </c>
      <c r="B85" s="185" t="s">
        <v>107</v>
      </c>
      <c r="C85" s="58"/>
      <c r="D85" s="70" t="s">
        <v>335</v>
      </c>
      <c r="E85" s="234">
        <v>2664</v>
      </c>
      <c r="F85" s="234">
        <v>2666</v>
      </c>
      <c r="G85" s="234">
        <v>2</v>
      </c>
      <c r="H85" s="313">
        <v>119600</v>
      </c>
      <c r="I85" s="178">
        <v>4400</v>
      </c>
      <c r="J85" s="178">
        <v>124000</v>
      </c>
      <c r="K85" s="266">
        <v>40000</v>
      </c>
      <c r="L85" s="1" t="s">
        <v>424</v>
      </c>
      <c r="M85" s="276">
        <v>84000</v>
      </c>
    </row>
    <row r="86" spans="1:13" x14ac:dyDescent="0.25">
      <c r="A86" s="339">
        <f t="shared" si="2"/>
        <v>5</v>
      </c>
      <c r="B86" s="179" t="s">
        <v>108</v>
      </c>
      <c r="C86" s="180" t="s">
        <v>111</v>
      </c>
      <c r="D86" s="181" t="s">
        <v>334</v>
      </c>
      <c r="E86" s="241">
        <v>83</v>
      </c>
      <c r="F86" s="241">
        <v>144</v>
      </c>
      <c r="G86" s="241">
        <v>61</v>
      </c>
      <c r="H86" s="183">
        <v>29110</v>
      </c>
      <c r="I86" s="178">
        <v>72650</v>
      </c>
      <c r="J86" s="178">
        <v>101760</v>
      </c>
      <c r="K86" s="266">
        <v>101760</v>
      </c>
      <c r="L86" s="1" t="s">
        <v>434</v>
      </c>
      <c r="M86" s="276">
        <v>0</v>
      </c>
    </row>
    <row r="87" spans="1:13" x14ac:dyDescent="0.25">
      <c r="A87" s="339">
        <f t="shared" si="2"/>
        <v>6</v>
      </c>
      <c r="B87" s="185" t="s">
        <v>109</v>
      </c>
      <c r="C87" s="58" t="s">
        <v>110</v>
      </c>
      <c r="D87" s="70" t="s">
        <v>334</v>
      </c>
      <c r="E87" s="234">
        <v>690</v>
      </c>
      <c r="F87" s="234">
        <v>1230</v>
      </c>
      <c r="G87" s="234" t="s">
        <v>457</v>
      </c>
      <c r="H87" s="276">
        <v>5000</v>
      </c>
      <c r="I87" s="178">
        <v>3000</v>
      </c>
      <c r="J87" s="178">
        <v>8000</v>
      </c>
      <c r="K87" s="266"/>
      <c r="L87" s="1"/>
      <c r="M87" s="276"/>
    </row>
    <row r="88" spans="1:13" x14ac:dyDescent="0.25">
      <c r="A88" s="339">
        <f t="shared" si="2"/>
        <v>7</v>
      </c>
      <c r="B88" s="185" t="s">
        <v>112</v>
      </c>
      <c r="C88" s="58" t="s">
        <v>113</v>
      </c>
      <c r="D88" s="70" t="s">
        <v>335</v>
      </c>
      <c r="E88" s="234">
        <v>13</v>
      </c>
      <c r="F88" s="234">
        <v>13</v>
      </c>
      <c r="G88" s="234">
        <v>0</v>
      </c>
      <c r="H88" s="276">
        <v>21100</v>
      </c>
      <c r="I88" s="178">
        <v>3000</v>
      </c>
      <c r="J88" s="178">
        <v>24100</v>
      </c>
      <c r="K88" s="266"/>
      <c r="L88" s="1"/>
      <c r="M88" s="276"/>
    </row>
    <row r="89" spans="1:13" x14ac:dyDescent="0.25">
      <c r="A89" s="339">
        <f t="shared" si="2"/>
        <v>8</v>
      </c>
      <c r="B89" s="185" t="s">
        <v>114</v>
      </c>
      <c r="C89" s="58" t="s">
        <v>115</v>
      </c>
      <c r="D89" s="70" t="s">
        <v>335</v>
      </c>
      <c r="E89" s="234">
        <v>431</v>
      </c>
      <c r="F89" s="234">
        <v>466</v>
      </c>
      <c r="G89" s="234">
        <v>35</v>
      </c>
      <c r="H89" s="276">
        <v>0</v>
      </c>
      <c r="I89" s="178">
        <v>36250</v>
      </c>
      <c r="J89" s="178">
        <v>36250</v>
      </c>
      <c r="K89" s="266"/>
      <c r="L89" s="1"/>
      <c r="M89" s="276"/>
    </row>
    <row r="90" spans="1:13" x14ac:dyDescent="0.25">
      <c r="A90" s="343">
        <f t="shared" si="2"/>
        <v>9</v>
      </c>
      <c r="B90" s="179" t="s">
        <v>116</v>
      </c>
      <c r="C90" s="180"/>
      <c r="D90" s="181" t="s">
        <v>334</v>
      </c>
      <c r="E90" s="234">
        <v>166</v>
      </c>
      <c r="F90" s="234">
        <v>175</v>
      </c>
      <c r="G90" s="234">
        <v>9</v>
      </c>
      <c r="H90" s="276">
        <v>0</v>
      </c>
      <c r="I90" s="254">
        <v>9300</v>
      </c>
      <c r="J90" s="254">
        <v>9300</v>
      </c>
      <c r="K90" s="266"/>
      <c r="L90" s="1"/>
      <c r="M90" s="276">
        <v>9300</v>
      </c>
    </row>
    <row r="91" spans="1:13" x14ac:dyDescent="0.25">
      <c r="A91" s="339">
        <f t="shared" si="2"/>
        <v>10</v>
      </c>
      <c r="B91" s="248" t="s">
        <v>117</v>
      </c>
      <c r="C91" s="249" t="s">
        <v>118</v>
      </c>
      <c r="D91" s="250" t="s">
        <v>335</v>
      </c>
      <c r="E91" s="267">
        <v>1453</v>
      </c>
      <c r="F91" s="267">
        <v>1464</v>
      </c>
      <c r="G91" s="234">
        <v>11</v>
      </c>
      <c r="H91" s="276">
        <v>15170</v>
      </c>
      <c r="I91" s="178">
        <v>10700</v>
      </c>
      <c r="J91" s="178">
        <v>25870</v>
      </c>
      <c r="K91" s="266">
        <v>25870</v>
      </c>
      <c r="L91" s="1" t="s">
        <v>424</v>
      </c>
      <c r="M91" s="276">
        <v>0</v>
      </c>
    </row>
    <row r="92" spans="1:13" x14ac:dyDescent="0.25">
      <c r="A92" s="339">
        <f t="shared" si="2"/>
        <v>11</v>
      </c>
      <c r="B92" s="185" t="s">
        <v>119</v>
      </c>
      <c r="C92" s="58" t="s">
        <v>120</v>
      </c>
      <c r="D92" s="70" t="s">
        <v>335</v>
      </c>
      <c r="E92" s="234">
        <v>2966</v>
      </c>
      <c r="F92" s="234">
        <v>2994</v>
      </c>
      <c r="G92" s="234">
        <v>28</v>
      </c>
      <c r="H92" s="276">
        <v>45350</v>
      </c>
      <c r="I92" s="178">
        <v>27150</v>
      </c>
      <c r="J92" s="178">
        <v>90700</v>
      </c>
      <c r="K92" s="266"/>
      <c r="L92" s="1"/>
      <c r="M92" s="276"/>
    </row>
    <row r="93" spans="1:13" x14ac:dyDescent="0.25">
      <c r="A93" s="339">
        <v>12</v>
      </c>
      <c r="B93" s="185" t="s">
        <v>428</v>
      </c>
      <c r="C93" s="58" t="s">
        <v>458</v>
      </c>
      <c r="D93" s="70"/>
      <c r="E93" s="234">
        <v>0</v>
      </c>
      <c r="F93" s="234">
        <v>7</v>
      </c>
      <c r="G93" s="234">
        <v>7</v>
      </c>
      <c r="H93" s="276">
        <v>0</v>
      </c>
      <c r="I93" s="178">
        <v>7900</v>
      </c>
      <c r="J93" s="178">
        <v>7900</v>
      </c>
      <c r="K93" s="266"/>
      <c r="L93" s="1"/>
      <c r="M93" s="276"/>
    </row>
    <row r="94" spans="1:13" x14ac:dyDescent="0.25">
      <c r="A94" s="339">
        <v>13</v>
      </c>
      <c r="B94" s="185" t="s">
        <v>121</v>
      </c>
      <c r="C94" s="58" t="s">
        <v>122</v>
      </c>
      <c r="D94" s="70" t="s">
        <v>335</v>
      </c>
      <c r="E94" s="234">
        <v>1975</v>
      </c>
      <c r="F94" s="234">
        <v>1975</v>
      </c>
      <c r="G94" s="234">
        <v>0</v>
      </c>
      <c r="H94" s="276">
        <v>49250</v>
      </c>
      <c r="I94" s="178">
        <v>3000</v>
      </c>
      <c r="J94" s="178">
        <v>52250</v>
      </c>
      <c r="K94" s="266"/>
      <c r="L94" s="1"/>
      <c r="M94" s="276"/>
    </row>
    <row r="95" spans="1:13" x14ac:dyDescent="0.25">
      <c r="A95" s="339">
        <v>14</v>
      </c>
      <c r="B95" s="185" t="s">
        <v>123</v>
      </c>
      <c r="C95" s="58" t="s">
        <v>124</v>
      </c>
      <c r="D95" s="70" t="s">
        <v>335</v>
      </c>
      <c r="E95" s="234">
        <v>6150</v>
      </c>
      <c r="F95" s="234">
        <v>6166</v>
      </c>
      <c r="G95" s="234">
        <v>16</v>
      </c>
      <c r="H95" s="276">
        <v>3000</v>
      </c>
      <c r="I95" s="178">
        <v>14550</v>
      </c>
      <c r="J95" s="178">
        <v>17550</v>
      </c>
      <c r="K95" s="266">
        <v>17550</v>
      </c>
      <c r="L95" s="1" t="s">
        <v>424</v>
      </c>
      <c r="M95" s="276">
        <v>0</v>
      </c>
    </row>
    <row r="96" spans="1:13" x14ac:dyDescent="0.25">
      <c r="A96" s="339">
        <v>15</v>
      </c>
      <c r="B96" s="185" t="s">
        <v>429</v>
      </c>
      <c r="C96" s="58"/>
      <c r="D96" s="70" t="s">
        <v>335</v>
      </c>
      <c r="E96" s="234">
        <v>40</v>
      </c>
      <c r="F96" s="234">
        <v>60</v>
      </c>
      <c r="G96" s="234">
        <v>20</v>
      </c>
      <c r="H96" s="276">
        <v>13340</v>
      </c>
      <c r="I96" s="178">
        <v>18750</v>
      </c>
      <c r="J96" s="178">
        <v>32090</v>
      </c>
      <c r="K96" s="266">
        <v>32000</v>
      </c>
      <c r="L96" s="1" t="s">
        <v>424</v>
      </c>
      <c r="M96" s="276">
        <v>90</v>
      </c>
    </row>
    <row r="97" spans="1:13" x14ac:dyDescent="0.25">
      <c r="A97" s="339">
        <v>16</v>
      </c>
      <c r="B97" s="185" t="s">
        <v>125</v>
      </c>
      <c r="C97" s="58" t="s">
        <v>126</v>
      </c>
      <c r="D97" s="70" t="s">
        <v>335</v>
      </c>
      <c r="E97" s="234">
        <v>3137</v>
      </c>
      <c r="F97" s="234">
        <v>3151</v>
      </c>
      <c r="G97" s="234">
        <v>14</v>
      </c>
      <c r="H97" s="325">
        <v>400</v>
      </c>
      <c r="I97" s="178">
        <v>12800</v>
      </c>
      <c r="J97" s="178">
        <v>12400</v>
      </c>
      <c r="K97" s="266"/>
      <c r="L97" s="1"/>
      <c r="M97" s="276"/>
    </row>
    <row r="98" spans="1:13" x14ac:dyDescent="0.25">
      <c r="A98" s="339">
        <v>17</v>
      </c>
      <c r="B98" s="185" t="s">
        <v>127</v>
      </c>
      <c r="C98" s="58" t="s">
        <v>128</v>
      </c>
      <c r="D98" s="70" t="s">
        <v>335</v>
      </c>
      <c r="E98" s="234">
        <v>1769</v>
      </c>
      <c r="F98" s="234">
        <v>1773</v>
      </c>
      <c r="G98" s="234">
        <v>4</v>
      </c>
      <c r="H98" s="276">
        <v>0</v>
      </c>
      <c r="I98" s="178">
        <v>5800</v>
      </c>
      <c r="J98" s="178">
        <v>5800</v>
      </c>
      <c r="K98" s="266">
        <v>5800</v>
      </c>
      <c r="L98" s="1" t="s">
        <v>434</v>
      </c>
      <c r="M98" s="276">
        <v>0</v>
      </c>
    </row>
    <row r="99" spans="1:13" x14ac:dyDescent="0.25">
      <c r="A99" s="339">
        <v>18</v>
      </c>
      <c r="B99" s="185" t="s">
        <v>129</v>
      </c>
      <c r="C99" s="58" t="s">
        <v>130</v>
      </c>
      <c r="D99" s="70" t="s">
        <v>335</v>
      </c>
      <c r="E99" s="234">
        <v>2426</v>
      </c>
      <c r="F99" s="234">
        <v>2461</v>
      </c>
      <c r="G99" s="234">
        <v>35</v>
      </c>
      <c r="H99" s="276">
        <v>17340</v>
      </c>
      <c r="I99" s="178">
        <v>36250</v>
      </c>
      <c r="J99" s="178">
        <v>53590</v>
      </c>
      <c r="K99" s="266">
        <v>53590</v>
      </c>
      <c r="L99" s="1" t="s">
        <v>434</v>
      </c>
      <c r="M99" s="276">
        <v>0</v>
      </c>
    </row>
    <row r="100" spans="1:13" x14ac:dyDescent="0.25">
      <c r="A100" s="339">
        <v>19</v>
      </c>
      <c r="B100" s="330" t="s">
        <v>131</v>
      </c>
      <c r="C100" s="331" t="s">
        <v>132</v>
      </c>
      <c r="D100" s="332" t="s">
        <v>335</v>
      </c>
      <c r="E100" s="333">
        <v>189</v>
      </c>
      <c r="F100" s="333">
        <v>202</v>
      </c>
      <c r="G100" s="333">
        <v>13</v>
      </c>
      <c r="H100" s="334">
        <v>0</v>
      </c>
      <c r="I100" s="297">
        <v>12100</v>
      </c>
      <c r="J100" s="297">
        <v>12100</v>
      </c>
      <c r="K100" s="334">
        <v>12100</v>
      </c>
      <c r="L100" s="1" t="s">
        <v>434</v>
      </c>
      <c r="M100" s="276">
        <v>0</v>
      </c>
    </row>
    <row r="101" spans="1:13" x14ac:dyDescent="0.25">
      <c r="A101" s="343">
        <v>20</v>
      </c>
      <c r="B101" s="179" t="s">
        <v>133</v>
      </c>
      <c r="C101" s="180" t="s">
        <v>134</v>
      </c>
      <c r="D101" s="181" t="s">
        <v>335</v>
      </c>
      <c r="E101" s="241">
        <v>1540</v>
      </c>
      <c r="F101" s="241">
        <v>1770</v>
      </c>
      <c r="G101" s="241" t="s">
        <v>457</v>
      </c>
      <c r="H101" s="312">
        <v>0</v>
      </c>
      <c r="I101" s="268">
        <v>3000</v>
      </c>
      <c r="J101" s="268">
        <v>3000</v>
      </c>
      <c r="K101" s="303"/>
      <c r="L101" s="185"/>
      <c r="M101" s="312"/>
    </row>
    <row r="102" spans="1:13" x14ac:dyDescent="0.25">
      <c r="A102" s="339">
        <v>21</v>
      </c>
      <c r="B102" s="185" t="s">
        <v>135</v>
      </c>
      <c r="C102" s="58" t="s">
        <v>136</v>
      </c>
      <c r="D102" s="70" t="s">
        <v>335</v>
      </c>
      <c r="E102" s="234">
        <v>418</v>
      </c>
      <c r="F102" s="234">
        <v>425</v>
      </c>
      <c r="G102" s="234">
        <v>7</v>
      </c>
      <c r="H102" s="276">
        <v>95250</v>
      </c>
      <c r="I102" s="178">
        <v>7900</v>
      </c>
      <c r="J102" s="178">
        <v>103150</v>
      </c>
      <c r="K102" s="266">
        <v>95250</v>
      </c>
      <c r="L102" s="1" t="s">
        <v>434</v>
      </c>
      <c r="M102" s="276">
        <v>7900</v>
      </c>
    </row>
    <row r="103" spans="1:13" x14ac:dyDescent="0.25">
      <c r="A103" s="343">
        <v>22</v>
      </c>
      <c r="B103" s="179" t="s">
        <v>137</v>
      </c>
      <c r="C103" s="180" t="s">
        <v>138</v>
      </c>
      <c r="D103" s="181" t="s">
        <v>335</v>
      </c>
      <c r="E103" s="241">
        <v>2466</v>
      </c>
      <c r="F103" s="241">
        <v>2475</v>
      </c>
      <c r="G103" s="267">
        <v>9</v>
      </c>
      <c r="H103" s="310">
        <v>37380</v>
      </c>
      <c r="I103" s="268">
        <v>9300</v>
      </c>
      <c r="J103" s="268">
        <v>46680</v>
      </c>
      <c r="K103" s="274">
        <v>46680</v>
      </c>
      <c r="L103" s="248" t="s">
        <v>424</v>
      </c>
      <c r="M103" s="310">
        <v>0</v>
      </c>
    </row>
    <row r="104" spans="1:13" x14ac:dyDescent="0.25">
      <c r="A104" s="339">
        <v>23</v>
      </c>
      <c r="B104" s="185" t="s">
        <v>139</v>
      </c>
      <c r="C104" s="58" t="s">
        <v>140</v>
      </c>
      <c r="D104" s="70" t="s">
        <v>335</v>
      </c>
      <c r="E104" s="234">
        <v>12</v>
      </c>
      <c r="F104" s="234">
        <v>19</v>
      </c>
      <c r="G104" s="234">
        <v>7</v>
      </c>
      <c r="H104" s="276">
        <v>11200</v>
      </c>
      <c r="I104" s="178">
        <v>7900</v>
      </c>
      <c r="J104" s="178">
        <v>19100</v>
      </c>
      <c r="K104" s="266"/>
      <c r="L104" s="1"/>
      <c r="M104" s="276"/>
    </row>
    <row r="105" spans="1:13" x14ac:dyDescent="0.25">
      <c r="A105" s="339">
        <v>24</v>
      </c>
      <c r="B105" s="185" t="s">
        <v>141</v>
      </c>
      <c r="C105" s="58" t="s">
        <v>142</v>
      </c>
      <c r="D105" s="70" t="s">
        <v>335</v>
      </c>
      <c r="E105" s="234">
        <v>15</v>
      </c>
      <c r="F105" s="234">
        <v>24</v>
      </c>
      <c r="G105" s="234">
        <v>9</v>
      </c>
      <c r="H105" s="276">
        <v>0</v>
      </c>
      <c r="I105" s="178">
        <v>9300</v>
      </c>
      <c r="J105" s="178">
        <v>9300</v>
      </c>
      <c r="K105" s="266"/>
      <c r="L105" s="1"/>
      <c r="M105" s="276"/>
    </row>
    <row r="106" spans="1:13" x14ac:dyDescent="0.25">
      <c r="A106" s="339">
        <v>25</v>
      </c>
      <c r="B106" s="185" t="s">
        <v>143</v>
      </c>
      <c r="C106" s="58" t="s">
        <v>144</v>
      </c>
      <c r="D106" s="70" t="s">
        <v>335</v>
      </c>
      <c r="E106" s="234">
        <v>0</v>
      </c>
      <c r="F106" s="234">
        <v>0</v>
      </c>
      <c r="G106" s="234">
        <v>0</v>
      </c>
      <c r="H106" s="276">
        <v>0</v>
      </c>
      <c r="I106" s="178">
        <v>3000</v>
      </c>
      <c r="J106" s="178">
        <v>3000</v>
      </c>
      <c r="K106" s="266">
        <v>3000</v>
      </c>
      <c r="L106" s="1" t="s">
        <v>434</v>
      </c>
      <c r="M106" s="276">
        <v>0</v>
      </c>
    </row>
    <row r="107" spans="1:13" x14ac:dyDescent="0.25">
      <c r="A107" s="338">
        <v>26</v>
      </c>
      <c r="B107" s="184" t="s">
        <v>145</v>
      </c>
      <c r="C107" s="153" t="s">
        <v>146</v>
      </c>
      <c r="D107" s="154" t="s">
        <v>335</v>
      </c>
      <c r="E107" s="242">
        <v>2385</v>
      </c>
      <c r="F107" s="242">
        <v>2409</v>
      </c>
      <c r="G107" s="242">
        <v>24</v>
      </c>
      <c r="H107" s="271">
        <v>0</v>
      </c>
      <c r="I107" s="176">
        <v>19350</v>
      </c>
      <c r="J107" s="176">
        <v>19350</v>
      </c>
      <c r="K107" s="271">
        <v>19350</v>
      </c>
      <c r="L107" s="160" t="s">
        <v>434</v>
      </c>
      <c r="M107" s="271">
        <v>0</v>
      </c>
    </row>
    <row r="108" spans="1:13" x14ac:dyDescent="0.25">
      <c r="A108" s="338">
        <v>27</v>
      </c>
      <c r="B108" s="184" t="s">
        <v>147</v>
      </c>
      <c r="C108" s="153" t="s">
        <v>148</v>
      </c>
      <c r="D108" s="154" t="s">
        <v>335</v>
      </c>
      <c r="E108" s="242">
        <v>2218</v>
      </c>
      <c r="F108" s="242">
        <v>2233</v>
      </c>
      <c r="G108" s="242">
        <v>15</v>
      </c>
      <c r="H108" s="271">
        <v>0</v>
      </c>
      <c r="I108" s="176">
        <v>6750</v>
      </c>
      <c r="J108" s="176">
        <v>6750</v>
      </c>
      <c r="K108" s="176">
        <v>6750</v>
      </c>
      <c r="L108" s="160" t="s">
        <v>434</v>
      </c>
      <c r="M108" s="271">
        <v>0</v>
      </c>
    </row>
    <row r="109" spans="1:13" x14ac:dyDescent="0.25">
      <c r="A109" s="339">
        <v>28</v>
      </c>
      <c r="B109" s="185" t="s">
        <v>149</v>
      </c>
      <c r="C109" s="58" t="s">
        <v>150</v>
      </c>
      <c r="D109" s="70" t="s">
        <v>335</v>
      </c>
      <c r="E109" s="234">
        <v>123</v>
      </c>
      <c r="F109" s="234">
        <v>140</v>
      </c>
      <c r="G109" s="234">
        <v>17</v>
      </c>
      <c r="H109" s="276">
        <v>0</v>
      </c>
      <c r="I109" s="178">
        <v>15600</v>
      </c>
      <c r="J109" s="178">
        <v>15600</v>
      </c>
      <c r="K109" s="266">
        <v>15600</v>
      </c>
      <c r="L109" s="1" t="s">
        <v>434</v>
      </c>
      <c r="M109" s="276">
        <v>0</v>
      </c>
    </row>
    <row r="110" spans="1:13" x14ac:dyDescent="0.25">
      <c r="A110" s="339">
        <v>29</v>
      </c>
      <c r="B110" s="185" t="s">
        <v>151</v>
      </c>
      <c r="C110" s="58" t="s">
        <v>152</v>
      </c>
      <c r="D110" s="70" t="s">
        <v>335</v>
      </c>
      <c r="E110" s="234">
        <v>884</v>
      </c>
      <c r="F110" s="234">
        <v>900</v>
      </c>
      <c r="G110" s="234">
        <v>16</v>
      </c>
      <c r="H110" s="276">
        <v>0</v>
      </c>
      <c r="I110" s="178">
        <v>14550</v>
      </c>
      <c r="J110" s="178">
        <v>14550</v>
      </c>
      <c r="K110" s="266"/>
      <c r="L110" s="1"/>
      <c r="M110" s="276"/>
    </row>
    <row r="111" spans="1:13" x14ac:dyDescent="0.25">
      <c r="A111" s="339">
        <v>30</v>
      </c>
      <c r="B111" s="185" t="s">
        <v>153</v>
      </c>
      <c r="C111" s="58" t="s">
        <v>154</v>
      </c>
      <c r="D111" s="70" t="s">
        <v>335</v>
      </c>
      <c r="E111" s="234">
        <v>229</v>
      </c>
      <c r="F111" s="234">
        <v>232</v>
      </c>
      <c r="G111" s="234">
        <v>3</v>
      </c>
      <c r="H111" s="276">
        <v>0</v>
      </c>
      <c r="I111" s="178">
        <v>5100</v>
      </c>
      <c r="J111" s="178">
        <v>5100</v>
      </c>
      <c r="K111" s="266">
        <v>5100</v>
      </c>
      <c r="L111" s="1" t="s">
        <v>434</v>
      </c>
      <c r="M111" s="276">
        <v>0</v>
      </c>
    </row>
    <row r="112" spans="1:13" x14ac:dyDescent="0.25">
      <c r="A112" s="339">
        <v>31</v>
      </c>
      <c r="B112" s="185" t="s">
        <v>155</v>
      </c>
      <c r="C112" s="58" t="s">
        <v>156</v>
      </c>
      <c r="D112" s="70" t="s">
        <v>335</v>
      </c>
      <c r="E112" s="234">
        <v>10</v>
      </c>
      <c r="F112" s="234">
        <v>17</v>
      </c>
      <c r="G112" s="234">
        <v>7</v>
      </c>
      <c r="H112" s="276">
        <v>0</v>
      </c>
      <c r="I112" s="178">
        <v>7900</v>
      </c>
      <c r="J112" s="178">
        <v>7900</v>
      </c>
      <c r="K112" s="266">
        <v>7900</v>
      </c>
      <c r="L112" s="1" t="s">
        <v>424</v>
      </c>
      <c r="M112" s="276">
        <v>0</v>
      </c>
    </row>
    <row r="113" spans="1:13" x14ac:dyDescent="0.25">
      <c r="A113" s="339">
        <v>32</v>
      </c>
      <c r="B113" s="185" t="s">
        <v>157</v>
      </c>
      <c r="C113" s="58" t="s">
        <v>158</v>
      </c>
      <c r="D113" s="70" t="s">
        <v>335</v>
      </c>
      <c r="E113" s="234">
        <v>1178</v>
      </c>
      <c r="F113" s="234">
        <v>1184</v>
      </c>
      <c r="G113" s="234">
        <v>6</v>
      </c>
      <c r="H113" s="276">
        <v>0</v>
      </c>
      <c r="I113" s="178">
        <v>7200</v>
      </c>
      <c r="J113" s="178">
        <v>7200</v>
      </c>
      <c r="K113" s="266"/>
      <c r="L113" s="1"/>
      <c r="M113" s="276"/>
    </row>
    <row r="114" spans="1:13" x14ac:dyDescent="0.25">
      <c r="A114" s="339">
        <v>33</v>
      </c>
      <c r="B114" s="185" t="s">
        <v>159</v>
      </c>
      <c r="C114" s="58" t="s">
        <v>160</v>
      </c>
      <c r="D114" s="70" t="s">
        <v>335</v>
      </c>
      <c r="E114" s="234">
        <v>1403</v>
      </c>
      <c r="F114" s="234">
        <v>1408</v>
      </c>
      <c r="G114" s="234">
        <v>5</v>
      </c>
      <c r="H114" s="276">
        <v>0</v>
      </c>
      <c r="I114" s="178">
        <v>6500</v>
      </c>
      <c r="J114" s="178">
        <v>6500</v>
      </c>
      <c r="K114" s="266">
        <v>6500</v>
      </c>
      <c r="L114" s="1" t="s">
        <v>424</v>
      </c>
      <c r="M114" s="276">
        <v>0</v>
      </c>
    </row>
    <row r="115" spans="1:13" x14ac:dyDescent="0.25">
      <c r="A115" s="343">
        <v>34</v>
      </c>
      <c r="B115" s="179" t="s">
        <v>161</v>
      </c>
      <c r="C115" s="180" t="s">
        <v>162</v>
      </c>
      <c r="D115" s="181" t="s">
        <v>335</v>
      </c>
      <c r="E115" s="241">
        <v>1266</v>
      </c>
      <c r="F115" s="241"/>
      <c r="G115" s="241" t="s">
        <v>457</v>
      </c>
      <c r="H115" s="313">
        <v>3000</v>
      </c>
      <c r="I115" s="218">
        <v>3000</v>
      </c>
      <c r="J115" s="218">
        <v>6000</v>
      </c>
      <c r="K115" s="273"/>
      <c r="L115" s="179"/>
      <c r="M115" s="313"/>
    </row>
    <row r="116" spans="1:13" x14ac:dyDescent="0.25">
      <c r="A116" s="338">
        <v>35</v>
      </c>
      <c r="B116" s="299" t="s">
        <v>163</v>
      </c>
      <c r="C116" s="300" t="s">
        <v>164</v>
      </c>
      <c r="D116" s="301" t="s">
        <v>335</v>
      </c>
      <c r="E116" s="298">
        <v>2520</v>
      </c>
      <c r="F116" s="298">
        <v>2545</v>
      </c>
      <c r="G116" s="242">
        <v>25</v>
      </c>
      <c r="H116" s="164">
        <v>19998</v>
      </c>
      <c r="I116" s="176">
        <v>17250</v>
      </c>
      <c r="J116" s="176">
        <v>37248</v>
      </c>
      <c r="K116" s="271">
        <v>37248</v>
      </c>
      <c r="L116" s="160" t="s">
        <v>434</v>
      </c>
      <c r="M116" s="271">
        <v>0</v>
      </c>
    </row>
    <row r="117" spans="1:13" x14ac:dyDescent="0.25">
      <c r="A117" s="339">
        <v>36</v>
      </c>
      <c r="B117" s="185" t="s">
        <v>165</v>
      </c>
      <c r="C117" s="58" t="s">
        <v>166</v>
      </c>
      <c r="D117" s="70" t="s">
        <v>335</v>
      </c>
      <c r="E117" s="234">
        <v>1160</v>
      </c>
      <c r="F117" s="234">
        <v>1169</v>
      </c>
      <c r="G117" s="234">
        <v>9</v>
      </c>
      <c r="H117" s="276">
        <v>0</v>
      </c>
      <c r="I117" s="178">
        <v>9300</v>
      </c>
      <c r="J117" s="178">
        <v>9300</v>
      </c>
      <c r="K117" s="266"/>
      <c r="L117" s="1"/>
      <c r="M117" s="276"/>
    </row>
    <row r="118" spans="1:13" x14ac:dyDescent="0.25">
      <c r="A118" s="339">
        <v>37</v>
      </c>
      <c r="B118" s="185" t="s">
        <v>167</v>
      </c>
      <c r="C118" s="58" t="s">
        <v>168</v>
      </c>
      <c r="D118" s="70" t="s">
        <v>335</v>
      </c>
      <c r="E118" s="234">
        <v>103</v>
      </c>
      <c r="F118" s="234">
        <v>104</v>
      </c>
      <c r="G118" s="234">
        <v>1</v>
      </c>
      <c r="H118" s="276">
        <v>3000</v>
      </c>
      <c r="I118" s="178">
        <v>3700</v>
      </c>
      <c r="J118" s="178">
        <v>6700</v>
      </c>
      <c r="K118" s="266"/>
      <c r="L118" s="1"/>
      <c r="M118" s="276"/>
    </row>
    <row r="119" spans="1:13" x14ac:dyDescent="0.25">
      <c r="A119" s="339">
        <v>38</v>
      </c>
      <c r="B119" s="185" t="s">
        <v>169</v>
      </c>
      <c r="C119" s="58" t="s">
        <v>170</v>
      </c>
      <c r="D119" s="70" t="s">
        <v>335</v>
      </c>
      <c r="E119" s="234">
        <v>2731</v>
      </c>
      <c r="F119" s="234">
        <v>2754</v>
      </c>
      <c r="G119" s="234">
        <v>23</v>
      </c>
      <c r="H119" s="313">
        <v>65510</v>
      </c>
      <c r="I119" s="178">
        <v>21900</v>
      </c>
      <c r="J119" s="178">
        <v>97230</v>
      </c>
      <c r="K119" s="266"/>
      <c r="L119" s="1"/>
      <c r="M119" s="276"/>
    </row>
    <row r="120" spans="1:13" x14ac:dyDescent="0.25">
      <c r="A120" s="338">
        <v>39</v>
      </c>
      <c r="B120" s="206" t="s">
        <v>171</v>
      </c>
      <c r="C120" s="220" t="s">
        <v>172</v>
      </c>
      <c r="D120" s="208" t="s">
        <v>335</v>
      </c>
      <c r="E120" s="240">
        <v>4481</v>
      </c>
      <c r="F120" s="240">
        <v>4558</v>
      </c>
      <c r="G120" s="242">
        <v>77</v>
      </c>
      <c r="H120" s="271">
        <v>0</v>
      </c>
      <c r="I120" s="176">
        <v>88300</v>
      </c>
      <c r="J120" s="176">
        <v>88300</v>
      </c>
      <c r="K120" s="271"/>
      <c r="L120" s="160"/>
      <c r="M120" s="271"/>
    </row>
    <row r="121" spans="1:13" x14ac:dyDescent="0.25">
      <c r="A121" s="339">
        <v>40</v>
      </c>
      <c r="B121" s="179" t="s">
        <v>371</v>
      </c>
      <c r="C121" s="180" t="s">
        <v>174</v>
      </c>
      <c r="D121" s="181" t="s">
        <v>335</v>
      </c>
      <c r="E121" s="234">
        <v>4643</v>
      </c>
      <c r="F121" s="234">
        <v>4770</v>
      </c>
      <c r="G121" s="234">
        <v>127</v>
      </c>
      <c r="H121" s="276">
        <v>3000</v>
      </c>
      <c r="I121" s="178">
        <v>165050</v>
      </c>
      <c r="J121" s="178">
        <v>168050</v>
      </c>
      <c r="K121" s="266"/>
      <c r="L121" s="1"/>
      <c r="M121" s="276"/>
    </row>
    <row r="122" spans="1:13" x14ac:dyDescent="0.25">
      <c r="A122" s="339">
        <v>41</v>
      </c>
      <c r="B122" s="185" t="s">
        <v>175</v>
      </c>
      <c r="C122" s="58" t="s">
        <v>176</v>
      </c>
      <c r="D122" s="70" t="s">
        <v>335</v>
      </c>
      <c r="E122" s="234">
        <v>1131</v>
      </c>
      <c r="F122" s="234">
        <v>1137</v>
      </c>
      <c r="G122" s="234">
        <v>6</v>
      </c>
      <c r="H122" s="276">
        <v>0</v>
      </c>
      <c r="I122" s="178">
        <v>7200</v>
      </c>
      <c r="J122" s="178">
        <v>7200</v>
      </c>
      <c r="K122" s="266">
        <v>7200</v>
      </c>
      <c r="L122" s="1" t="s">
        <v>434</v>
      </c>
      <c r="M122" s="276">
        <v>0</v>
      </c>
    </row>
    <row r="123" spans="1:13" x14ac:dyDescent="0.25">
      <c r="A123" s="339">
        <v>42</v>
      </c>
      <c r="B123" s="185" t="s">
        <v>441</v>
      </c>
      <c r="C123" s="58" t="s">
        <v>178</v>
      </c>
      <c r="D123" s="70" t="s">
        <v>335</v>
      </c>
      <c r="E123" s="234">
        <v>90</v>
      </c>
      <c r="F123" s="234">
        <v>90</v>
      </c>
      <c r="G123" s="234">
        <v>0</v>
      </c>
      <c r="H123" s="276">
        <v>3700</v>
      </c>
      <c r="I123" s="178">
        <v>3000</v>
      </c>
      <c r="J123" s="178">
        <v>6700</v>
      </c>
      <c r="K123" s="266"/>
      <c r="L123" s="1"/>
      <c r="M123" s="276"/>
    </row>
    <row r="124" spans="1:13" x14ac:dyDescent="0.25">
      <c r="A124" s="340">
        <v>43</v>
      </c>
      <c r="B124" s="186" t="s">
        <v>179</v>
      </c>
      <c r="C124" s="137" t="s">
        <v>180</v>
      </c>
      <c r="D124" s="117" t="s">
        <v>335</v>
      </c>
      <c r="E124" s="234">
        <v>1957</v>
      </c>
      <c r="F124" s="234">
        <v>1979</v>
      </c>
      <c r="G124" s="234">
        <v>22</v>
      </c>
      <c r="H124" s="276">
        <v>9100</v>
      </c>
      <c r="I124" s="178">
        <v>14550</v>
      </c>
      <c r="J124" s="178">
        <v>23650</v>
      </c>
      <c r="K124" s="266">
        <v>23600</v>
      </c>
      <c r="L124" s="1" t="s">
        <v>434</v>
      </c>
      <c r="M124" s="276">
        <v>50</v>
      </c>
    </row>
    <row r="125" spans="1:13" x14ac:dyDescent="0.25">
      <c r="A125" s="339">
        <v>44</v>
      </c>
      <c r="B125" s="248" t="s">
        <v>181</v>
      </c>
      <c r="C125" s="249" t="s">
        <v>182</v>
      </c>
      <c r="D125" s="250" t="s">
        <v>335</v>
      </c>
      <c r="E125" s="267">
        <v>275</v>
      </c>
      <c r="F125" s="267">
        <v>360</v>
      </c>
      <c r="G125" s="267">
        <v>85</v>
      </c>
      <c r="H125" s="310">
        <v>0</v>
      </c>
      <c r="I125" s="268">
        <v>106250</v>
      </c>
      <c r="J125" s="268">
        <v>106250</v>
      </c>
      <c r="K125" s="266">
        <v>106250</v>
      </c>
      <c r="L125" s="1" t="s">
        <v>434</v>
      </c>
      <c r="M125" s="276">
        <v>0</v>
      </c>
    </row>
    <row r="126" spans="1:13" x14ac:dyDescent="0.25">
      <c r="A126" s="339">
        <v>45</v>
      </c>
      <c r="B126" s="185" t="s">
        <v>183</v>
      </c>
      <c r="C126" s="58" t="s">
        <v>184</v>
      </c>
      <c r="D126" s="70" t="s">
        <v>335</v>
      </c>
      <c r="E126" s="234">
        <v>320</v>
      </c>
      <c r="F126" s="234">
        <v>330</v>
      </c>
      <c r="G126" s="234">
        <v>10</v>
      </c>
      <c r="H126" s="276">
        <v>0</v>
      </c>
      <c r="I126" s="178">
        <v>10000</v>
      </c>
      <c r="J126" s="178">
        <v>10000</v>
      </c>
      <c r="K126" s="266">
        <v>10000</v>
      </c>
      <c r="L126" s="1" t="s">
        <v>434</v>
      </c>
      <c r="M126" s="276">
        <v>0</v>
      </c>
    </row>
    <row r="127" spans="1:13" x14ac:dyDescent="0.25">
      <c r="A127" s="339">
        <v>46</v>
      </c>
      <c r="B127" s="185" t="s">
        <v>185</v>
      </c>
      <c r="C127" s="58" t="s">
        <v>186</v>
      </c>
      <c r="D127" s="70" t="s">
        <v>335</v>
      </c>
      <c r="E127" s="234">
        <v>2410</v>
      </c>
      <c r="F127" s="234">
        <v>2427</v>
      </c>
      <c r="G127" s="234">
        <v>17</v>
      </c>
      <c r="H127" s="276">
        <v>0</v>
      </c>
      <c r="I127" s="178">
        <v>15600</v>
      </c>
      <c r="J127" s="178">
        <v>15600</v>
      </c>
      <c r="K127" s="266"/>
      <c r="L127" s="1"/>
      <c r="M127" s="276"/>
    </row>
    <row r="128" spans="1:13" x14ac:dyDescent="0.25">
      <c r="A128" s="343">
        <v>47</v>
      </c>
      <c r="B128" s="179" t="s">
        <v>187</v>
      </c>
      <c r="C128" s="180" t="s">
        <v>188</v>
      </c>
      <c r="D128" s="181" t="s">
        <v>335</v>
      </c>
      <c r="E128" s="234">
        <v>4066</v>
      </c>
      <c r="F128" s="234">
        <v>4089</v>
      </c>
      <c r="G128" s="234">
        <v>23</v>
      </c>
      <c r="H128" s="312">
        <v>7590</v>
      </c>
      <c r="I128" s="178">
        <v>21900</v>
      </c>
      <c r="J128" s="178">
        <v>29490</v>
      </c>
      <c r="K128" s="266">
        <v>29490</v>
      </c>
      <c r="L128" s="1" t="s">
        <v>434</v>
      </c>
      <c r="M128" s="312">
        <v>7590</v>
      </c>
    </row>
    <row r="129" spans="1:13" x14ac:dyDescent="0.25">
      <c r="A129" s="339">
        <v>48</v>
      </c>
      <c r="B129" s="185" t="s">
        <v>189</v>
      </c>
      <c r="C129" s="58" t="s">
        <v>190</v>
      </c>
      <c r="D129" s="70" t="s">
        <v>335</v>
      </c>
      <c r="E129" s="234">
        <v>2</v>
      </c>
      <c r="F129" s="234">
        <v>5</v>
      </c>
      <c r="G129" s="234">
        <v>3</v>
      </c>
      <c r="H129" s="276">
        <v>3700</v>
      </c>
      <c r="I129" s="178">
        <v>5100</v>
      </c>
      <c r="J129" s="178">
        <v>8800</v>
      </c>
      <c r="K129" s="266"/>
      <c r="L129" s="1"/>
      <c r="M129" s="276"/>
    </row>
    <row r="130" spans="1:13" x14ac:dyDescent="0.25">
      <c r="A130" s="338">
        <v>49</v>
      </c>
      <c r="B130" s="184" t="s">
        <v>191</v>
      </c>
      <c r="C130" s="153" t="s">
        <v>192</v>
      </c>
      <c r="D130" s="154" t="s">
        <v>335</v>
      </c>
      <c r="E130" s="242">
        <v>2648</v>
      </c>
      <c r="F130" s="242">
        <v>2674</v>
      </c>
      <c r="G130" s="242">
        <v>26</v>
      </c>
      <c r="H130" s="164">
        <v>11800</v>
      </c>
      <c r="I130" s="176">
        <v>18300</v>
      </c>
      <c r="J130" s="176">
        <v>30100</v>
      </c>
      <c r="K130" s="271">
        <v>30100</v>
      </c>
      <c r="L130" s="160" t="s">
        <v>434</v>
      </c>
      <c r="M130" s="271">
        <v>0</v>
      </c>
    </row>
    <row r="131" spans="1:13" x14ac:dyDescent="0.25">
      <c r="A131" s="339">
        <v>50</v>
      </c>
      <c r="B131" s="179" t="s">
        <v>193</v>
      </c>
      <c r="C131" s="180" t="s">
        <v>194</v>
      </c>
      <c r="D131" s="181" t="s">
        <v>335</v>
      </c>
      <c r="E131" s="241">
        <v>3308</v>
      </c>
      <c r="F131" s="241">
        <v>3338</v>
      </c>
      <c r="G131" s="234">
        <v>30</v>
      </c>
      <c r="H131" s="276">
        <v>3000</v>
      </c>
      <c r="I131" s="178">
        <v>29250</v>
      </c>
      <c r="J131" s="178">
        <v>32250</v>
      </c>
      <c r="K131" s="266">
        <v>32250</v>
      </c>
      <c r="L131" s="1" t="s">
        <v>424</v>
      </c>
      <c r="M131" s="276">
        <v>0</v>
      </c>
    </row>
    <row r="132" spans="1:13" x14ac:dyDescent="0.25">
      <c r="A132" s="338">
        <v>51</v>
      </c>
      <c r="B132" s="184" t="s">
        <v>195</v>
      </c>
      <c r="C132" s="153" t="s">
        <v>196</v>
      </c>
      <c r="D132" s="154" t="s">
        <v>335</v>
      </c>
      <c r="E132" s="242">
        <v>2641</v>
      </c>
      <c r="F132" s="242">
        <v>2658</v>
      </c>
      <c r="G132" s="242">
        <v>17</v>
      </c>
      <c r="H132" s="271">
        <v>0</v>
      </c>
      <c r="I132" s="176">
        <v>8850</v>
      </c>
      <c r="J132" s="176">
        <v>8850</v>
      </c>
      <c r="K132" s="271">
        <v>8850</v>
      </c>
      <c r="L132" s="160" t="s">
        <v>434</v>
      </c>
      <c r="M132" s="271">
        <v>0</v>
      </c>
    </row>
    <row r="133" spans="1:13" x14ac:dyDescent="0.25">
      <c r="A133" s="344">
        <v>52</v>
      </c>
      <c r="B133" s="248" t="s">
        <v>361</v>
      </c>
      <c r="C133" s="249" t="s">
        <v>198</v>
      </c>
      <c r="D133" s="250" t="s">
        <v>335</v>
      </c>
      <c r="E133" s="234">
        <v>1581</v>
      </c>
      <c r="F133" s="234">
        <v>1607</v>
      </c>
      <c r="G133" s="234">
        <v>26</v>
      </c>
      <c r="H133" s="276">
        <v>0</v>
      </c>
      <c r="I133" s="178">
        <v>25050</v>
      </c>
      <c r="J133" s="178">
        <v>25050</v>
      </c>
      <c r="K133" s="266"/>
      <c r="L133" s="1"/>
      <c r="M133" s="276"/>
    </row>
    <row r="134" spans="1:13" x14ac:dyDescent="0.25">
      <c r="A134" s="339">
        <v>53</v>
      </c>
      <c r="B134" s="185" t="s">
        <v>199</v>
      </c>
      <c r="C134" s="58" t="s">
        <v>200</v>
      </c>
      <c r="D134" s="70" t="s">
        <v>335</v>
      </c>
      <c r="E134" s="234">
        <v>1413</v>
      </c>
      <c r="F134" s="234">
        <v>1429</v>
      </c>
      <c r="G134" s="234">
        <v>16</v>
      </c>
      <c r="H134" s="276">
        <v>0</v>
      </c>
      <c r="I134" s="178">
        <v>14550</v>
      </c>
      <c r="J134" s="178">
        <v>14550</v>
      </c>
      <c r="K134" s="266"/>
      <c r="L134" s="1"/>
      <c r="M134" s="276"/>
    </row>
    <row r="135" spans="1:13" x14ac:dyDescent="0.25">
      <c r="A135" s="339">
        <v>54</v>
      </c>
      <c r="B135" s="185" t="s">
        <v>201</v>
      </c>
      <c r="C135" s="58" t="s">
        <v>202</v>
      </c>
      <c r="D135" s="70" t="s">
        <v>335</v>
      </c>
      <c r="E135" s="234">
        <v>561</v>
      </c>
      <c r="F135" s="234">
        <v>563</v>
      </c>
      <c r="G135" s="234">
        <v>2</v>
      </c>
      <c r="H135" s="276">
        <v>0</v>
      </c>
      <c r="I135" s="178">
        <v>4400</v>
      </c>
      <c r="J135" s="178">
        <v>4400</v>
      </c>
      <c r="K135" s="266"/>
      <c r="L135" s="1"/>
      <c r="M135" s="276"/>
    </row>
    <row r="136" spans="1:13" x14ac:dyDescent="0.25">
      <c r="A136" s="339">
        <v>55</v>
      </c>
      <c r="B136" s="179" t="s">
        <v>203</v>
      </c>
      <c r="C136" s="180" t="s">
        <v>204</v>
      </c>
      <c r="D136" s="181" t="s">
        <v>335</v>
      </c>
      <c r="E136" s="241">
        <v>2709</v>
      </c>
      <c r="F136" s="241">
        <v>2207</v>
      </c>
      <c r="G136" s="234" t="s">
        <v>457</v>
      </c>
      <c r="H136" s="276">
        <v>0</v>
      </c>
      <c r="I136" s="178">
        <v>3000</v>
      </c>
      <c r="J136" s="178">
        <v>3000</v>
      </c>
      <c r="K136" s="266"/>
      <c r="L136" s="1"/>
      <c r="M136" s="276"/>
    </row>
    <row r="137" spans="1:13" x14ac:dyDescent="0.25">
      <c r="A137" s="339">
        <v>56</v>
      </c>
      <c r="B137" s="185" t="s">
        <v>205</v>
      </c>
      <c r="C137" s="58" t="s">
        <v>206</v>
      </c>
      <c r="D137" s="70" t="s">
        <v>335</v>
      </c>
      <c r="E137" s="234">
        <v>1032</v>
      </c>
      <c r="F137" s="234">
        <v>1035</v>
      </c>
      <c r="G137" s="234">
        <v>3</v>
      </c>
      <c r="H137" s="276">
        <v>0</v>
      </c>
      <c r="I137" s="178">
        <v>5100</v>
      </c>
      <c r="J137" s="178">
        <v>5100</v>
      </c>
      <c r="K137" s="266"/>
      <c r="L137" s="1"/>
      <c r="M137" s="276"/>
    </row>
    <row r="138" spans="1:13" x14ac:dyDescent="0.25">
      <c r="A138" s="339">
        <v>57</v>
      </c>
      <c r="B138" s="185" t="s">
        <v>207</v>
      </c>
      <c r="C138" s="58" t="s">
        <v>208</v>
      </c>
      <c r="D138" s="70" t="s">
        <v>335</v>
      </c>
      <c r="E138" s="234">
        <v>187</v>
      </c>
      <c r="F138" s="234">
        <v>190</v>
      </c>
      <c r="G138" s="234">
        <v>3</v>
      </c>
      <c r="H138" s="276">
        <v>7400</v>
      </c>
      <c r="I138" s="178">
        <v>5100</v>
      </c>
      <c r="J138" s="178">
        <v>12500</v>
      </c>
      <c r="K138" s="266"/>
      <c r="L138" s="1"/>
      <c r="M138" s="276"/>
    </row>
    <row r="139" spans="1:13" x14ac:dyDescent="0.25">
      <c r="A139" s="339">
        <v>58</v>
      </c>
      <c r="B139" s="185" t="s">
        <v>209</v>
      </c>
      <c r="C139" s="58" t="s">
        <v>210</v>
      </c>
      <c r="D139" s="70" t="s">
        <v>335</v>
      </c>
      <c r="E139" s="234">
        <v>92</v>
      </c>
      <c r="F139" s="234">
        <v>92</v>
      </c>
      <c r="G139" s="234">
        <v>0</v>
      </c>
      <c r="H139" s="276">
        <v>0</v>
      </c>
      <c r="I139" s="178">
        <v>3000</v>
      </c>
      <c r="J139" s="178">
        <v>3000</v>
      </c>
      <c r="K139" s="266"/>
      <c r="L139" s="1"/>
      <c r="M139" s="276"/>
    </row>
    <row r="140" spans="1:13" x14ac:dyDescent="0.25">
      <c r="A140" s="339">
        <v>59</v>
      </c>
      <c r="B140" s="185" t="s">
        <v>211</v>
      </c>
      <c r="C140" s="58" t="s">
        <v>212</v>
      </c>
      <c r="D140" s="70" t="s">
        <v>335</v>
      </c>
      <c r="E140" s="234">
        <v>2048</v>
      </c>
      <c r="F140" s="234">
        <v>2062</v>
      </c>
      <c r="G140" s="234">
        <v>14</v>
      </c>
      <c r="H140" s="276">
        <v>0</v>
      </c>
      <c r="I140" s="178">
        <v>12800</v>
      </c>
      <c r="J140" s="178">
        <v>12800</v>
      </c>
      <c r="K140" s="266">
        <v>12800</v>
      </c>
      <c r="L140" s="1" t="s">
        <v>434</v>
      </c>
      <c r="M140" s="276">
        <v>0</v>
      </c>
    </row>
    <row r="141" spans="1:13" x14ac:dyDescent="0.25">
      <c r="A141" s="339">
        <v>60</v>
      </c>
      <c r="B141" s="185" t="s">
        <v>218</v>
      </c>
      <c r="C141" s="58" t="s">
        <v>217</v>
      </c>
      <c r="D141" s="70" t="s">
        <v>335</v>
      </c>
      <c r="E141" s="234">
        <v>976</v>
      </c>
      <c r="F141" s="234">
        <v>994</v>
      </c>
      <c r="G141" s="234">
        <v>18</v>
      </c>
      <c r="H141" s="276">
        <v>0</v>
      </c>
      <c r="I141" s="178">
        <v>16650</v>
      </c>
      <c r="J141" s="178">
        <v>16650</v>
      </c>
      <c r="K141" s="266">
        <v>16650</v>
      </c>
      <c r="L141" s="1" t="s">
        <v>434</v>
      </c>
      <c r="M141" s="276">
        <v>0</v>
      </c>
    </row>
    <row r="142" spans="1:13" x14ac:dyDescent="0.25">
      <c r="A142" s="339">
        <v>61</v>
      </c>
      <c r="B142" s="318" t="s">
        <v>213</v>
      </c>
      <c r="C142" s="319" t="s">
        <v>214</v>
      </c>
      <c r="D142" s="320" t="s">
        <v>335</v>
      </c>
      <c r="E142" s="321">
        <v>740</v>
      </c>
      <c r="F142" s="321">
        <v>823</v>
      </c>
      <c r="G142" s="321">
        <v>83</v>
      </c>
      <c r="H142" s="276">
        <v>0</v>
      </c>
      <c r="I142" s="323">
        <v>103450</v>
      </c>
      <c r="J142" s="323">
        <v>103450</v>
      </c>
      <c r="K142" s="322"/>
      <c r="L142" s="324"/>
      <c r="M142" s="322"/>
    </row>
    <row r="143" spans="1:13" x14ac:dyDescent="0.25">
      <c r="A143" s="339">
        <v>62</v>
      </c>
      <c r="B143" s="185" t="s">
        <v>215</v>
      </c>
      <c r="C143" s="58" t="s">
        <v>216</v>
      </c>
      <c r="D143" s="70" t="s">
        <v>335</v>
      </c>
      <c r="E143" s="234">
        <v>8</v>
      </c>
      <c r="F143" s="234"/>
      <c r="G143" s="234" t="s">
        <v>457</v>
      </c>
      <c r="H143" s="276">
        <v>8600</v>
      </c>
      <c r="I143" s="178">
        <v>3000</v>
      </c>
      <c r="J143" s="178">
        <v>11600</v>
      </c>
      <c r="K143" s="266"/>
      <c r="L143" s="1"/>
      <c r="M143" s="276"/>
    </row>
    <row r="144" spans="1:13" x14ac:dyDescent="0.25">
      <c r="A144" s="339">
        <v>63</v>
      </c>
      <c r="B144" s="185" t="s">
        <v>219</v>
      </c>
      <c r="C144" s="58" t="s">
        <v>220</v>
      </c>
      <c r="D144" s="70" t="s">
        <v>335</v>
      </c>
      <c r="E144" s="234">
        <v>314</v>
      </c>
      <c r="F144" s="234">
        <v>314</v>
      </c>
      <c r="G144" s="234">
        <v>0</v>
      </c>
      <c r="H144" s="276">
        <v>33700</v>
      </c>
      <c r="I144" s="178">
        <v>3000</v>
      </c>
      <c r="J144" s="178">
        <v>36700</v>
      </c>
      <c r="K144" s="266">
        <v>33700</v>
      </c>
      <c r="L144" s="1" t="s">
        <v>434</v>
      </c>
      <c r="M144" s="276">
        <v>3000</v>
      </c>
    </row>
    <row r="145" spans="1:13" x14ac:dyDescent="0.25">
      <c r="A145" s="339">
        <v>64</v>
      </c>
      <c r="B145" s="185" t="s">
        <v>221</v>
      </c>
      <c r="C145" s="58" t="s">
        <v>222</v>
      </c>
      <c r="D145" s="70" t="s">
        <v>335</v>
      </c>
      <c r="E145" s="234">
        <v>1820</v>
      </c>
      <c r="F145" s="234">
        <v>1855</v>
      </c>
      <c r="G145" s="234">
        <v>35</v>
      </c>
      <c r="H145" s="276">
        <v>15600</v>
      </c>
      <c r="I145" s="178">
        <v>36250</v>
      </c>
      <c r="J145" s="178">
        <v>51850</v>
      </c>
      <c r="K145" s="266"/>
      <c r="L145" s="1"/>
      <c r="M145" s="276"/>
    </row>
    <row r="146" spans="1:13" x14ac:dyDescent="0.25">
      <c r="A146" s="339">
        <v>65</v>
      </c>
      <c r="B146" s="185" t="s">
        <v>223</v>
      </c>
      <c r="C146" s="58" t="s">
        <v>224</v>
      </c>
      <c r="D146" s="70" t="s">
        <v>335</v>
      </c>
      <c r="E146" s="234">
        <v>2265</v>
      </c>
      <c r="F146" s="234">
        <v>2285</v>
      </c>
      <c r="G146" s="234">
        <v>20</v>
      </c>
      <c r="H146" s="276">
        <v>0</v>
      </c>
      <c r="I146" s="178">
        <v>18750</v>
      </c>
      <c r="J146" s="178">
        <v>18750</v>
      </c>
      <c r="K146" s="266"/>
      <c r="L146" s="1"/>
      <c r="M146" s="276"/>
    </row>
    <row r="147" spans="1:13" x14ac:dyDescent="0.25">
      <c r="A147" s="339">
        <v>66</v>
      </c>
      <c r="B147" s="185" t="s">
        <v>225</v>
      </c>
      <c r="C147" s="58" t="s">
        <v>226</v>
      </c>
      <c r="D147" s="70" t="s">
        <v>335</v>
      </c>
      <c r="E147" s="234">
        <v>1407</v>
      </c>
      <c r="F147" s="234">
        <v>1407</v>
      </c>
      <c r="G147" s="234">
        <v>0</v>
      </c>
      <c r="H147" s="276">
        <v>0</v>
      </c>
      <c r="I147" s="178">
        <v>3000</v>
      </c>
      <c r="J147" s="178">
        <v>3000</v>
      </c>
      <c r="K147" s="266"/>
      <c r="L147" s="1"/>
      <c r="M147" s="276"/>
    </row>
    <row r="148" spans="1:13" x14ac:dyDescent="0.25">
      <c r="A148" s="339">
        <v>67</v>
      </c>
      <c r="B148" s="185" t="s">
        <v>227</v>
      </c>
      <c r="C148" s="58" t="s">
        <v>228</v>
      </c>
      <c r="D148" s="70" t="s">
        <v>335</v>
      </c>
      <c r="E148" s="234">
        <v>3668</v>
      </c>
      <c r="F148" s="234">
        <v>3690</v>
      </c>
      <c r="G148" s="234">
        <v>22</v>
      </c>
      <c r="H148" s="276">
        <v>3000</v>
      </c>
      <c r="I148" s="254">
        <v>20850</v>
      </c>
      <c r="J148" s="254">
        <v>23850</v>
      </c>
      <c r="K148" s="266">
        <v>23850</v>
      </c>
      <c r="L148" s="1" t="s">
        <v>434</v>
      </c>
      <c r="M148" s="276">
        <v>0</v>
      </c>
    </row>
    <row r="149" spans="1:13" x14ac:dyDescent="0.25">
      <c r="A149" s="339">
        <v>68</v>
      </c>
      <c r="B149" s="185" t="s">
        <v>229</v>
      </c>
      <c r="C149" s="58" t="s">
        <v>230</v>
      </c>
      <c r="D149" s="70" t="s">
        <v>335</v>
      </c>
      <c r="E149" s="234">
        <v>1491</v>
      </c>
      <c r="F149" s="234">
        <v>1494</v>
      </c>
      <c r="G149" s="234">
        <v>3</v>
      </c>
      <c r="H149" s="313">
        <v>43300</v>
      </c>
      <c r="I149" s="178">
        <v>5100</v>
      </c>
      <c r="J149" s="178">
        <v>48400</v>
      </c>
      <c r="K149" s="266"/>
      <c r="L149" s="1"/>
      <c r="M149" s="276"/>
    </row>
    <row r="150" spans="1:13" x14ac:dyDescent="0.25">
      <c r="A150" s="338">
        <v>69</v>
      </c>
      <c r="B150" s="206" t="s">
        <v>231</v>
      </c>
      <c r="C150" s="220" t="s">
        <v>232</v>
      </c>
      <c r="D150" s="208" t="s">
        <v>335</v>
      </c>
      <c r="E150" s="242">
        <v>4407</v>
      </c>
      <c r="F150" s="242">
        <v>4423</v>
      </c>
      <c r="G150" s="242">
        <v>16</v>
      </c>
      <c r="H150" s="314">
        <v>22750</v>
      </c>
      <c r="I150" s="176">
        <v>7800</v>
      </c>
      <c r="J150" s="176">
        <v>29050</v>
      </c>
      <c r="K150" s="271"/>
      <c r="L150" s="160"/>
      <c r="M150" s="347"/>
    </row>
    <row r="151" spans="1:13" x14ac:dyDescent="0.25">
      <c r="A151" s="339">
        <v>70</v>
      </c>
      <c r="B151" s="185" t="s">
        <v>233</v>
      </c>
      <c r="C151" s="58" t="s">
        <v>234</v>
      </c>
      <c r="D151" s="70" t="s">
        <v>335</v>
      </c>
      <c r="E151" s="234">
        <v>5650</v>
      </c>
      <c r="F151" s="234">
        <v>5688</v>
      </c>
      <c r="G151" s="234">
        <v>38</v>
      </c>
      <c r="H151" s="276">
        <v>64320</v>
      </c>
      <c r="I151" s="178">
        <v>40450</v>
      </c>
      <c r="J151" s="266">
        <v>131440</v>
      </c>
      <c r="K151" s="266">
        <v>53340</v>
      </c>
      <c r="L151" s="1" t="s">
        <v>434</v>
      </c>
      <c r="M151" s="276">
        <v>78100</v>
      </c>
    </row>
    <row r="152" spans="1:13" x14ac:dyDescent="0.25">
      <c r="A152" s="339">
        <v>71</v>
      </c>
      <c r="B152" s="185" t="s">
        <v>375</v>
      </c>
      <c r="C152" s="58" t="s">
        <v>236</v>
      </c>
      <c r="D152" s="70" t="s">
        <v>335</v>
      </c>
      <c r="E152" s="234">
        <v>1680</v>
      </c>
      <c r="F152" s="234">
        <v>1706</v>
      </c>
      <c r="G152" s="234">
        <v>26</v>
      </c>
      <c r="H152" s="309">
        <v>550</v>
      </c>
      <c r="I152" s="178">
        <v>25050</v>
      </c>
      <c r="J152" s="178">
        <v>24500</v>
      </c>
      <c r="K152" s="266">
        <v>24500</v>
      </c>
      <c r="L152" s="1" t="s">
        <v>434</v>
      </c>
      <c r="M152" s="276">
        <v>0</v>
      </c>
    </row>
    <row r="153" spans="1:13" x14ac:dyDescent="0.25">
      <c r="A153" s="339">
        <v>72</v>
      </c>
      <c r="B153" s="185" t="s">
        <v>237</v>
      </c>
      <c r="C153" s="58" t="s">
        <v>238</v>
      </c>
      <c r="D153" s="70" t="s">
        <v>335</v>
      </c>
      <c r="E153" s="234">
        <v>3500</v>
      </c>
      <c r="F153" s="234">
        <v>3527</v>
      </c>
      <c r="G153" s="234">
        <v>27</v>
      </c>
      <c r="H153" s="276">
        <v>32050</v>
      </c>
      <c r="I153" s="178">
        <v>26100</v>
      </c>
      <c r="J153" s="178">
        <v>58150</v>
      </c>
      <c r="K153" s="266">
        <v>58150</v>
      </c>
      <c r="L153" s="1" t="s">
        <v>434</v>
      </c>
      <c r="M153" s="276">
        <v>0</v>
      </c>
    </row>
    <row r="154" spans="1:13" x14ac:dyDescent="0.25">
      <c r="A154" s="339">
        <v>73</v>
      </c>
      <c r="B154" s="185" t="s">
        <v>420</v>
      </c>
      <c r="C154" s="58" t="s">
        <v>240</v>
      </c>
      <c r="D154" s="70" t="s">
        <v>335</v>
      </c>
      <c r="E154" s="234">
        <v>3145</v>
      </c>
      <c r="F154" s="234">
        <v>3187</v>
      </c>
      <c r="G154" s="234">
        <v>42</v>
      </c>
      <c r="H154" s="276">
        <v>111040</v>
      </c>
      <c r="I154" s="178">
        <v>46050</v>
      </c>
      <c r="J154" s="266">
        <v>157090</v>
      </c>
      <c r="K154" s="266">
        <v>97000</v>
      </c>
      <c r="L154" s="1" t="s">
        <v>434</v>
      </c>
      <c r="M154" s="276">
        <v>60090</v>
      </c>
    </row>
    <row r="155" spans="1:13" x14ac:dyDescent="0.25">
      <c r="A155" s="339">
        <v>74</v>
      </c>
      <c r="B155" s="185" t="s">
        <v>241</v>
      </c>
      <c r="C155" s="58" t="s">
        <v>242</v>
      </c>
      <c r="D155" s="70" t="s">
        <v>335</v>
      </c>
      <c r="E155" s="234">
        <v>4487</v>
      </c>
      <c r="F155" s="234">
        <v>4560</v>
      </c>
      <c r="G155" s="234">
        <v>73</v>
      </c>
      <c r="H155" s="276">
        <v>0</v>
      </c>
      <c r="I155" s="178">
        <v>89450</v>
      </c>
      <c r="J155" s="178">
        <v>89450</v>
      </c>
      <c r="K155" s="266"/>
      <c r="L155" s="1"/>
      <c r="M155" s="276"/>
    </row>
    <row r="156" spans="1:13" x14ac:dyDescent="0.25">
      <c r="A156" s="339">
        <v>75</v>
      </c>
      <c r="B156" s="179" t="s">
        <v>243</v>
      </c>
      <c r="C156" s="58" t="s">
        <v>244</v>
      </c>
      <c r="D156" s="70" t="s">
        <v>335</v>
      </c>
      <c r="E156" s="234">
        <v>4271</v>
      </c>
      <c r="F156" s="234">
        <v>4303</v>
      </c>
      <c r="G156" s="234">
        <v>32</v>
      </c>
      <c r="H156" s="276">
        <v>0</v>
      </c>
      <c r="I156" s="178">
        <v>34850</v>
      </c>
      <c r="J156" s="178">
        <v>34850</v>
      </c>
      <c r="K156" s="266"/>
      <c r="L156" s="1"/>
      <c r="M156" s="276"/>
    </row>
    <row r="157" spans="1:13" x14ac:dyDescent="0.25">
      <c r="A157" s="339">
        <v>76</v>
      </c>
      <c r="B157" s="185" t="s">
        <v>245</v>
      </c>
      <c r="C157" s="58" t="s">
        <v>246</v>
      </c>
      <c r="D157" s="70" t="s">
        <v>335</v>
      </c>
      <c r="E157" s="234">
        <v>6897</v>
      </c>
      <c r="F157" s="234">
        <v>6925</v>
      </c>
      <c r="G157" s="234">
        <v>28</v>
      </c>
      <c r="H157" s="276">
        <v>0</v>
      </c>
      <c r="I157" s="178">
        <v>27150</v>
      </c>
      <c r="J157" s="178">
        <v>27150</v>
      </c>
      <c r="K157" s="266">
        <v>27150</v>
      </c>
      <c r="L157" s="1" t="s">
        <v>434</v>
      </c>
      <c r="M157" s="276">
        <v>0</v>
      </c>
    </row>
    <row r="158" spans="1:13" x14ac:dyDescent="0.25">
      <c r="A158" s="339">
        <v>77</v>
      </c>
      <c r="B158" s="248" t="s">
        <v>247</v>
      </c>
      <c r="C158" s="249" t="s">
        <v>248</v>
      </c>
      <c r="D158" s="250" t="s">
        <v>335</v>
      </c>
      <c r="E158" s="234">
        <v>1001</v>
      </c>
      <c r="F158" s="234">
        <v>1047</v>
      </c>
      <c r="G158" s="234">
        <v>46</v>
      </c>
      <c r="H158" s="276">
        <v>0</v>
      </c>
      <c r="I158" s="178">
        <v>51650</v>
      </c>
      <c r="J158" s="178">
        <v>51650</v>
      </c>
      <c r="K158" s="266">
        <v>51650</v>
      </c>
      <c r="L158" s="1" t="s">
        <v>434</v>
      </c>
      <c r="M158" s="276">
        <v>0</v>
      </c>
    </row>
    <row r="159" spans="1:13" x14ac:dyDescent="0.25">
      <c r="A159" s="339">
        <v>78</v>
      </c>
      <c r="B159" s="185" t="s">
        <v>249</v>
      </c>
      <c r="C159" s="58" t="s">
        <v>442</v>
      </c>
      <c r="D159" s="70" t="s">
        <v>335</v>
      </c>
      <c r="E159" s="234">
        <v>1951</v>
      </c>
      <c r="F159" s="234">
        <v>1953</v>
      </c>
      <c r="G159" s="234">
        <v>2</v>
      </c>
      <c r="H159" s="276">
        <v>108170</v>
      </c>
      <c r="I159" s="178">
        <v>5800</v>
      </c>
      <c r="J159" s="178">
        <v>127310</v>
      </c>
      <c r="K159" s="266"/>
      <c r="L159" s="1"/>
      <c r="M159" s="276"/>
    </row>
    <row r="160" spans="1:13" x14ac:dyDescent="0.25">
      <c r="A160" s="339">
        <v>79</v>
      </c>
      <c r="B160" s="185" t="s">
        <v>353</v>
      </c>
      <c r="C160" s="58" t="s">
        <v>442</v>
      </c>
      <c r="D160" s="70" t="s">
        <v>335</v>
      </c>
      <c r="E160" s="234">
        <v>497</v>
      </c>
      <c r="F160" s="234">
        <v>498</v>
      </c>
      <c r="G160" s="234">
        <v>1</v>
      </c>
      <c r="H160" s="276">
        <v>14600</v>
      </c>
      <c r="I160" s="178">
        <v>3700</v>
      </c>
      <c r="J160" s="178">
        <v>18300</v>
      </c>
      <c r="K160" s="266"/>
      <c r="L160" s="1"/>
      <c r="M160" s="276"/>
    </row>
    <row r="161" spans="1:13" x14ac:dyDescent="0.25">
      <c r="A161" s="339">
        <v>80</v>
      </c>
      <c r="B161" s="185" t="s">
        <v>251</v>
      </c>
      <c r="C161" s="58"/>
      <c r="D161" s="70" t="s">
        <v>335</v>
      </c>
      <c r="E161" s="234">
        <v>752</v>
      </c>
      <c r="F161" s="234">
        <v>752</v>
      </c>
      <c r="G161" s="234">
        <v>0</v>
      </c>
      <c r="H161" s="276">
        <v>107400</v>
      </c>
      <c r="I161" s="178">
        <v>3000</v>
      </c>
      <c r="J161" s="178">
        <v>110400</v>
      </c>
      <c r="K161" s="266"/>
      <c r="L161" s="1"/>
      <c r="M161" s="276"/>
    </row>
    <row r="162" spans="1:13" x14ac:dyDescent="0.25">
      <c r="A162" s="339">
        <v>81</v>
      </c>
      <c r="B162" s="185" t="s">
        <v>252</v>
      </c>
      <c r="C162" s="58" t="s">
        <v>253</v>
      </c>
      <c r="D162" s="70" t="s">
        <v>335</v>
      </c>
      <c r="E162" s="234">
        <v>1993</v>
      </c>
      <c r="F162" s="234">
        <v>2027</v>
      </c>
      <c r="G162" s="234">
        <v>34</v>
      </c>
      <c r="H162" s="276">
        <v>0</v>
      </c>
      <c r="I162" s="178">
        <v>34850</v>
      </c>
      <c r="J162" s="178">
        <v>34850</v>
      </c>
      <c r="K162" s="266"/>
      <c r="L162" s="1"/>
      <c r="M162" s="276"/>
    </row>
    <row r="163" spans="1:13" x14ac:dyDescent="0.25">
      <c r="A163" s="339">
        <v>82</v>
      </c>
      <c r="B163" s="179" t="s">
        <v>443</v>
      </c>
      <c r="C163" s="180" t="s">
        <v>255</v>
      </c>
      <c r="D163" s="181" t="s">
        <v>335</v>
      </c>
      <c r="E163" s="241">
        <v>2747</v>
      </c>
      <c r="F163" s="234">
        <v>2756</v>
      </c>
      <c r="G163" s="234">
        <v>9</v>
      </c>
      <c r="H163" s="276">
        <v>37200</v>
      </c>
      <c r="I163" s="178">
        <v>9300</v>
      </c>
      <c r="J163" s="178">
        <v>46500</v>
      </c>
      <c r="K163" s="266"/>
      <c r="L163" s="1"/>
      <c r="M163" s="276"/>
    </row>
    <row r="164" spans="1:13" x14ac:dyDescent="0.25">
      <c r="A164" s="339">
        <v>83</v>
      </c>
      <c r="B164" s="185" t="s">
        <v>4</v>
      </c>
      <c r="C164" s="58"/>
      <c r="D164" s="70" t="s">
        <v>335</v>
      </c>
      <c r="E164" s="234">
        <v>0</v>
      </c>
      <c r="F164" s="234">
        <v>0</v>
      </c>
      <c r="G164" s="234">
        <v>0</v>
      </c>
      <c r="H164" s="276">
        <v>0</v>
      </c>
      <c r="I164" s="178">
        <v>3000</v>
      </c>
      <c r="J164" s="178">
        <v>3000</v>
      </c>
      <c r="K164" s="266"/>
      <c r="L164" s="1"/>
      <c r="M164" s="276"/>
    </row>
    <row r="165" spans="1:13" x14ac:dyDescent="0.25">
      <c r="A165" s="339">
        <v>84</v>
      </c>
      <c r="B165" s="185" t="s">
        <v>256</v>
      </c>
      <c r="C165" s="58" t="s">
        <v>257</v>
      </c>
      <c r="D165" s="70" t="s">
        <v>335</v>
      </c>
      <c r="E165" s="234">
        <v>512</v>
      </c>
      <c r="F165" s="234">
        <v>517</v>
      </c>
      <c r="G165" s="234">
        <v>5</v>
      </c>
      <c r="H165" s="276">
        <v>5200</v>
      </c>
      <c r="I165" s="178">
        <v>6500</v>
      </c>
      <c r="J165" s="178">
        <v>11700</v>
      </c>
      <c r="K165" s="266"/>
      <c r="L165" s="1"/>
      <c r="M165" s="276"/>
    </row>
    <row r="166" spans="1:13" x14ac:dyDescent="0.25">
      <c r="A166" s="339">
        <v>85</v>
      </c>
      <c r="B166" s="185" t="s">
        <v>258</v>
      </c>
      <c r="C166" s="58" t="s">
        <v>259</v>
      </c>
      <c r="D166" s="70" t="s">
        <v>335</v>
      </c>
      <c r="E166" s="234">
        <v>0</v>
      </c>
      <c r="F166" s="234">
        <v>2</v>
      </c>
      <c r="G166" s="234">
        <v>2</v>
      </c>
      <c r="H166" s="276">
        <v>18670</v>
      </c>
      <c r="I166" s="178">
        <v>4400</v>
      </c>
      <c r="J166" s="177">
        <v>23070</v>
      </c>
      <c r="K166" s="266"/>
      <c r="L166" s="1"/>
      <c r="M166" s="276"/>
    </row>
    <row r="167" spans="1:13" x14ac:dyDescent="0.25">
      <c r="A167" s="339">
        <v>86</v>
      </c>
      <c r="B167" s="185" t="s">
        <v>260</v>
      </c>
      <c r="C167" s="58" t="s">
        <v>261</v>
      </c>
      <c r="D167" s="70" t="s">
        <v>335</v>
      </c>
      <c r="E167" s="234">
        <v>340</v>
      </c>
      <c r="F167" s="234">
        <v>351</v>
      </c>
      <c r="G167" s="234">
        <v>11</v>
      </c>
      <c r="H167" s="276">
        <v>0</v>
      </c>
      <c r="I167" s="178">
        <v>10700</v>
      </c>
      <c r="J167" s="178">
        <v>10700</v>
      </c>
      <c r="K167" s="266"/>
      <c r="L167" s="1"/>
      <c r="M167" s="276"/>
    </row>
    <row r="168" spans="1:13" x14ac:dyDescent="0.25">
      <c r="A168" s="339">
        <v>87</v>
      </c>
      <c r="B168" s="185" t="s">
        <v>262</v>
      </c>
      <c r="C168" s="58" t="s">
        <v>263</v>
      </c>
      <c r="D168" s="70" t="s">
        <v>335</v>
      </c>
      <c r="E168" s="234">
        <v>541</v>
      </c>
      <c r="F168" s="234">
        <v>567</v>
      </c>
      <c r="G168" s="234">
        <v>26</v>
      </c>
      <c r="H168" s="276">
        <v>0</v>
      </c>
      <c r="I168" s="178">
        <v>25050</v>
      </c>
      <c r="J168" s="178">
        <v>25050</v>
      </c>
      <c r="K168" s="266"/>
      <c r="L168" s="1"/>
      <c r="M168" s="276"/>
    </row>
    <row r="169" spans="1:13" x14ac:dyDescent="0.25">
      <c r="A169" s="339">
        <v>88</v>
      </c>
      <c r="B169" s="185" t="s">
        <v>264</v>
      </c>
      <c r="C169" s="58" t="s">
        <v>265</v>
      </c>
      <c r="D169" s="70" t="s">
        <v>335</v>
      </c>
      <c r="E169" s="234">
        <v>3584</v>
      </c>
      <c r="F169" s="234">
        <v>3589</v>
      </c>
      <c r="G169" s="234">
        <v>5</v>
      </c>
      <c r="H169" s="313">
        <v>0</v>
      </c>
      <c r="I169" s="178">
        <v>6500</v>
      </c>
      <c r="J169" s="178">
        <v>6500</v>
      </c>
      <c r="K169" s="266"/>
      <c r="L169" s="1"/>
      <c r="M169" s="276"/>
    </row>
    <row r="170" spans="1:13" x14ac:dyDescent="0.25">
      <c r="A170" s="345">
        <v>89</v>
      </c>
      <c r="B170" s="195" t="s">
        <v>266</v>
      </c>
      <c r="C170" s="196" t="s">
        <v>267</v>
      </c>
      <c r="D170" s="197" t="s">
        <v>335</v>
      </c>
      <c r="E170" s="243">
        <v>2</v>
      </c>
      <c r="F170" s="243">
        <v>2</v>
      </c>
      <c r="G170" s="243">
        <v>0</v>
      </c>
      <c r="H170" s="275">
        <v>94200</v>
      </c>
      <c r="I170" s="201">
        <v>3000</v>
      </c>
      <c r="J170" s="201">
        <v>97200</v>
      </c>
      <c r="K170" s="275"/>
      <c r="L170" s="194"/>
      <c r="M170" s="275"/>
    </row>
    <row r="171" spans="1:13" x14ac:dyDescent="0.25">
      <c r="A171" s="339">
        <v>90</v>
      </c>
      <c r="B171" s="185" t="s">
        <v>268</v>
      </c>
      <c r="C171" s="58" t="s">
        <v>269</v>
      </c>
      <c r="D171" s="70" t="s">
        <v>335</v>
      </c>
      <c r="E171" s="234">
        <v>1592</v>
      </c>
      <c r="F171" s="234">
        <v>1640</v>
      </c>
      <c r="G171" s="234">
        <v>48</v>
      </c>
      <c r="H171" s="276">
        <v>0</v>
      </c>
      <c r="I171" s="178">
        <v>54450</v>
      </c>
      <c r="J171" s="178">
        <v>54450</v>
      </c>
      <c r="K171" s="266"/>
      <c r="L171" s="1"/>
      <c r="M171" s="276"/>
    </row>
    <row r="172" spans="1:13" x14ac:dyDescent="0.25">
      <c r="A172" s="339">
        <v>91</v>
      </c>
      <c r="B172" s="185" t="s">
        <v>271</v>
      </c>
      <c r="C172" s="58" t="s">
        <v>270</v>
      </c>
      <c r="D172" s="70" t="s">
        <v>335</v>
      </c>
      <c r="E172" s="241">
        <v>2604</v>
      </c>
      <c r="F172" s="241">
        <v>2604</v>
      </c>
      <c r="G172" s="234">
        <v>0</v>
      </c>
      <c r="H172" s="276">
        <v>0</v>
      </c>
      <c r="I172" s="178">
        <v>3000</v>
      </c>
      <c r="J172" s="178">
        <v>3000</v>
      </c>
      <c r="K172" s="266"/>
      <c r="L172" s="1"/>
      <c r="M172" s="276"/>
    </row>
    <row r="173" spans="1:13" x14ac:dyDescent="0.25">
      <c r="A173" s="339">
        <v>92</v>
      </c>
      <c r="B173" s="185" t="s">
        <v>374</v>
      </c>
      <c r="C173" s="58" t="s">
        <v>273</v>
      </c>
      <c r="D173" s="70" t="s">
        <v>335</v>
      </c>
      <c r="E173" s="234">
        <v>3060</v>
      </c>
      <c r="F173" s="234">
        <v>3148</v>
      </c>
      <c r="G173" s="234">
        <v>88</v>
      </c>
      <c r="H173" s="276">
        <v>0</v>
      </c>
      <c r="I173" s="178">
        <v>110450</v>
      </c>
      <c r="J173" s="178">
        <v>110450</v>
      </c>
      <c r="K173" s="266"/>
      <c r="L173" s="1"/>
      <c r="M173" s="276"/>
    </row>
    <row r="174" spans="1:13" x14ac:dyDescent="0.25">
      <c r="A174" s="339">
        <v>93</v>
      </c>
      <c r="B174" s="179" t="s">
        <v>274</v>
      </c>
      <c r="C174" s="180" t="s">
        <v>275</v>
      </c>
      <c r="D174" s="181" t="s">
        <v>335</v>
      </c>
      <c r="E174" s="241">
        <v>3121</v>
      </c>
      <c r="F174" s="241">
        <v>3137</v>
      </c>
      <c r="G174" s="234">
        <v>16</v>
      </c>
      <c r="H174" s="310">
        <v>0</v>
      </c>
      <c r="I174" s="178">
        <v>14550</v>
      </c>
      <c r="J174" s="178">
        <v>14550</v>
      </c>
      <c r="K174" s="266"/>
      <c r="L174" s="1"/>
      <c r="M174" s="313"/>
    </row>
    <row r="175" spans="1:13" x14ac:dyDescent="0.25">
      <c r="A175" s="346">
        <v>94</v>
      </c>
      <c r="B175" s="195" t="s">
        <v>276</v>
      </c>
      <c r="C175" s="196" t="s">
        <v>277</v>
      </c>
      <c r="D175" s="197" t="s">
        <v>335</v>
      </c>
      <c r="E175" s="198">
        <v>2973</v>
      </c>
      <c r="F175" s="198"/>
      <c r="G175" s="244"/>
      <c r="H175" s="275">
        <v>41000</v>
      </c>
      <c r="I175" s="200">
        <v>3000</v>
      </c>
      <c r="J175" s="200">
        <v>44000</v>
      </c>
      <c r="K175" s="275"/>
      <c r="L175" s="194"/>
      <c r="M175" s="275"/>
    </row>
    <row r="176" spans="1:13" x14ac:dyDescent="0.25">
      <c r="A176" s="339">
        <v>95</v>
      </c>
      <c r="B176" s="185" t="s">
        <v>278</v>
      </c>
      <c r="C176" s="58" t="s">
        <v>279</v>
      </c>
      <c r="D176" s="70" t="s">
        <v>335</v>
      </c>
      <c r="E176" s="234">
        <v>1165</v>
      </c>
      <c r="F176" s="234">
        <v>1187</v>
      </c>
      <c r="G176" s="234">
        <v>22</v>
      </c>
      <c r="H176" s="313">
        <v>45950</v>
      </c>
      <c r="I176" s="178">
        <v>20850</v>
      </c>
      <c r="J176" s="178">
        <v>66800</v>
      </c>
      <c r="K176" s="266"/>
      <c r="L176" s="1"/>
      <c r="M176" s="313"/>
    </row>
    <row r="177" spans="1:13" x14ac:dyDescent="0.25">
      <c r="A177" s="343">
        <v>96</v>
      </c>
      <c r="B177" s="185" t="s">
        <v>354</v>
      </c>
      <c r="C177" s="58" t="s">
        <v>281</v>
      </c>
      <c r="D177" s="70" t="s">
        <v>335</v>
      </c>
      <c r="E177" s="234">
        <v>911</v>
      </c>
      <c r="F177" s="234">
        <v>932</v>
      </c>
      <c r="G177" s="234">
        <v>21</v>
      </c>
      <c r="H177" s="276">
        <v>11600</v>
      </c>
      <c r="I177" s="178">
        <v>19800</v>
      </c>
      <c r="J177" s="178">
        <v>31400</v>
      </c>
      <c r="K177" s="266"/>
      <c r="L177" s="1"/>
      <c r="M177" s="276"/>
    </row>
    <row r="178" spans="1:13" x14ac:dyDescent="0.25">
      <c r="A178" s="339">
        <v>97</v>
      </c>
      <c r="B178" s="185" t="s">
        <v>282</v>
      </c>
      <c r="C178" s="58" t="s">
        <v>283</v>
      </c>
      <c r="D178" s="70" t="s">
        <v>335</v>
      </c>
      <c r="E178" s="234">
        <v>1674</v>
      </c>
      <c r="F178" s="234">
        <v>1678</v>
      </c>
      <c r="G178" s="234">
        <v>4</v>
      </c>
      <c r="H178" s="276">
        <v>0</v>
      </c>
      <c r="I178" s="178">
        <v>5800</v>
      </c>
      <c r="J178" s="178">
        <v>5800</v>
      </c>
      <c r="K178" s="266"/>
      <c r="L178" s="1"/>
      <c r="M178" s="276"/>
    </row>
    <row r="179" spans="1:13" x14ac:dyDescent="0.25">
      <c r="A179" s="339">
        <v>98</v>
      </c>
      <c r="B179" s="185" t="s">
        <v>284</v>
      </c>
      <c r="C179" s="58" t="s">
        <v>285</v>
      </c>
      <c r="D179" s="70" t="s">
        <v>335</v>
      </c>
      <c r="E179" s="234">
        <v>2329</v>
      </c>
      <c r="F179" s="234">
        <v>2353</v>
      </c>
      <c r="G179" s="234">
        <v>24</v>
      </c>
      <c r="H179" s="276">
        <v>22650</v>
      </c>
      <c r="I179" s="178">
        <v>22950</v>
      </c>
      <c r="J179" s="297">
        <v>45600</v>
      </c>
      <c r="K179" s="266"/>
      <c r="L179" s="1"/>
      <c r="M179" s="276"/>
    </row>
    <row r="180" spans="1:13" x14ac:dyDescent="0.25">
      <c r="A180" s="339">
        <v>99</v>
      </c>
      <c r="B180" s="185" t="s">
        <v>286</v>
      </c>
      <c r="C180" s="58" t="s">
        <v>287</v>
      </c>
      <c r="D180" s="70" t="s">
        <v>335</v>
      </c>
      <c r="E180" s="234">
        <v>1164</v>
      </c>
      <c r="F180" s="234">
        <v>1176</v>
      </c>
      <c r="G180" s="234">
        <v>12</v>
      </c>
      <c r="H180" s="276">
        <v>31800</v>
      </c>
      <c r="I180" s="178">
        <v>11400</v>
      </c>
      <c r="J180" s="178">
        <v>43200</v>
      </c>
      <c r="K180" s="266"/>
      <c r="L180" s="1"/>
      <c r="M180" s="276"/>
    </row>
    <row r="181" spans="1:13" x14ac:dyDescent="0.25">
      <c r="A181" s="339">
        <v>100</v>
      </c>
      <c r="B181" s="185" t="s">
        <v>288</v>
      </c>
      <c r="C181" s="58" t="s">
        <v>289</v>
      </c>
      <c r="D181" s="70" t="s">
        <v>335</v>
      </c>
      <c r="E181" s="234">
        <v>25</v>
      </c>
      <c r="F181" s="234">
        <v>46</v>
      </c>
      <c r="G181" s="234">
        <v>21</v>
      </c>
      <c r="H181" s="276">
        <v>0</v>
      </c>
      <c r="I181" s="178">
        <v>19800</v>
      </c>
      <c r="J181" s="178">
        <v>19800</v>
      </c>
      <c r="K181" s="266"/>
      <c r="L181" s="1"/>
      <c r="M181" s="276"/>
    </row>
    <row r="182" spans="1:13" x14ac:dyDescent="0.25">
      <c r="A182" s="343">
        <v>101</v>
      </c>
      <c r="B182" s="248" t="s">
        <v>290</v>
      </c>
      <c r="C182" s="249" t="s">
        <v>291</v>
      </c>
      <c r="D182" s="250" t="s">
        <v>335</v>
      </c>
      <c r="E182" s="267">
        <v>1398</v>
      </c>
      <c r="F182" s="267">
        <v>1445</v>
      </c>
      <c r="G182" s="234">
        <v>47</v>
      </c>
      <c r="H182" s="276">
        <v>0</v>
      </c>
      <c r="I182" s="178">
        <v>53050</v>
      </c>
      <c r="J182" s="178">
        <v>53050</v>
      </c>
      <c r="K182" s="266"/>
      <c r="L182" s="1"/>
      <c r="M182" s="276"/>
    </row>
    <row r="183" spans="1:13" x14ac:dyDescent="0.25">
      <c r="A183" s="339">
        <v>102</v>
      </c>
      <c r="B183" s="248" t="s">
        <v>292</v>
      </c>
      <c r="C183" s="249" t="s">
        <v>293</v>
      </c>
      <c r="D183" s="250" t="s">
        <v>335</v>
      </c>
      <c r="E183" s="234">
        <v>1803</v>
      </c>
      <c r="F183" s="234">
        <v>1816</v>
      </c>
      <c r="G183" s="234">
        <v>13</v>
      </c>
      <c r="H183" s="276">
        <v>0</v>
      </c>
      <c r="I183" s="178">
        <v>12100</v>
      </c>
      <c r="J183" s="178">
        <v>12100</v>
      </c>
      <c r="K183" s="266"/>
      <c r="L183" s="1"/>
      <c r="M183" s="276"/>
    </row>
    <row r="184" spans="1:13" x14ac:dyDescent="0.25">
      <c r="A184" s="339">
        <v>103</v>
      </c>
      <c r="B184" s="185" t="s">
        <v>294</v>
      </c>
      <c r="C184" s="58" t="s">
        <v>295</v>
      </c>
      <c r="D184" s="70" t="s">
        <v>335</v>
      </c>
      <c r="E184" s="245">
        <v>991</v>
      </c>
      <c r="F184" s="245">
        <v>1010</v>
      </c>
      <c r="G184" s="245">
        <v>19</v>
      </c>
      <c r="H184" s="276">
        <v>13500</v>
      </c>
      <c r="I184" s="177">
        <v>17700</v>
      </c>
      <c r="J184" s="177">
        <v>31200</v>
      </c>
      <c r="K184" s="266">
        <v>31200</v>
      </c>
      <c r="L184" s="1" t="s">
        <v>424</v>
      </c>
      <c r="M184" s="276">
        <v>0</v>
      </c>
    </row>
    <row r="185" spans="1:13" x14ac:dyDescent="0.25">
      <c r="A185" s="339">
        <v>104</v>
      </c>
      <c r="B185" s="185" t="s">
        <v>296</v>
      </c>
      <c r="C185" s="58" t="s">
        <v>297</v>
      </c>
      <c r="D185" s="70" t="s">
        <v>335</v>
      </c>
      <c r="E185" s="234">
        <v>863</v>
      </c>
      <c r="F185" s="234">
        <v>876</v>
      </c>
      <c r="G185" s="234">
        <v>13</v>
      </c>
      <c r="H185" s="183">
        <v>26670</v>
      </c>
      <c r="I185" s="178">
        <v>12100</v>
      </c>
      <c r="J185" s="178">
        <v>38770</v>
      </c>
      <c r="K185" s="266">
        <v>38770</v>
      </c>
      <c r="L185" s="1" t="s">
        <v>434</v>
      </c>
      <c r="M185" s="276">
        <v>0</v>
      </c>
    </row>
    <row r="186" spans="1:13" x14ac:dyDescent="0.25">
      <c r="A186" s="339">
        <v>105</v>
      </c>
      <c r="B186" s="185" t="s">
        <v>366</v>
      </c>
      <c r="C186" s="58" t="s">
        <v>299</v>
      </c>
      <c r="D186" s="70" t="s">
        <v>335</v>
      </c>
      <c r="E186" s="234">
        <v>2798</v>
      </c>
      <c r="F186" s="234">
        <v>2815</v>
      </c>
      <c r="G186" s="234">
        <v>17</v>
      </c>
      <c r="H186" s="183">
        <v>26670</v>
      </c>
      <c r="I186" s="178">
        <v>15600</v>
      </c>
      <c r="J186" s="178">
        <v>42270</v>
      </c>
      <c r="K186" s="266"/>
      <c r="L186" s="1"/>
      <c r="M186" s="276"/>
    </row>
    <row r="187" spans="1:13" x14ac:dyDescent="0.25">
      <c r="A187" s="339">
        <v>106</v>
      </c>
      <c r="B187" s="248" t="s">
        <v>300</v>
      </c>
      <c r="C187" s="249" t="s">
        <v>301</v>
      </c>
      <c r="D187" s="250" t="s">
        <v>335</v>
      </c>
      <c r="E187" s="267">
        <v>5100</v>
      </c>
      <c r="F187" s="267">
        <v>5106</v>
      </c>
      <c r="G187" s="234">
        <v>6</v>
      </c>
      <c r="H187" s="276">
        <v>5100</v>
      </c>
      <c r="I187" s="178">
        <v>7200</v>
      </c>
      <c r="J187" s="178">
        <v>12300</v>
      </c>
      <c r="K187" s="266"/>
      <c r="L187" s="1"/>
      <c r="M187" s="276"/>
    </row>
    <row r="188" spans="1:13" x14ac:dyDescent="0.25">
      <c r="A188" s="339">
        <v>107</v>
      </c>
      <c r="B188" s="185" t="s">
        <v>302</v>
      </c>
      <c r="C188" s="58" t="s">
        <v>303</v>
      </c>
      <c r="D188" s="70" t="s">
        <v>335</v>
      </c>
      <c r="E188" s="234">
        <v>649</v>
      </c>
      <c r="F188" s="234">
        <v>716</v>
      </c>
      <c r="G188" s="234">
        <v>67</v>
      </c>
      <c r="H188" s="276">
        <v>0</v>
      </c>
      <c r="I188" s="178">
        <v>81050</v>
      </c>
      <c r="J188" s="178">
        <v>81050</v>
      </c>
      <c r="K188" s="266">
        <v>81050</v>
      </c>
      <c r="L188" s="1" t="s">
        <v>434</v>
      </c>
      <c r="M188" s="276">
        <v>0</v>
      </c>
    </row>
    <row r="189" spans="1:13" x14ac:dyDescent="0.25">
      <c r="A189" s="339">
        <v>108</v>
      </c>
      <c r="B189" s="179" t="s">
        <v>304</v>
      </c>
      <c r="C189" s="180" t="s">
        <v>305</v>
      </c>
      <c r="D189" s="181" t="s">
        <v>335</v>
      </c>
      <c r="E189" s="241">
        <v>3878</v>
      </c>
      <c r="F189" s="241">
        <v>3474</v>
      </c>
      <c r="G189" s="234" t="s">
        <v>457</v>
      </c>
      <c r="H189" s="276"/>
      <c r="I189" s="178">
        <v>3000</v>
      </c>
      <c r="J189" s="178">
        <v>3000</v>
      </c>
      <c r="K189" s="266"/>
      <c r="L189" s="1"/>
      <c r="M189" s="276"/>
    </row>
    <row r="190" spans="1:13" x14ac:dyDescent="0.25">
      <c r="A190" s="339">
        <v>109</v>
      </c>
      <c r="B190" s="185" t="s">
        <v>306</v>
      </c>
      <c r="C190" s="58" t="s">
        <v>307</v>
      </c>
      <c r="D190" s="70" t="s">
        <v>335</v>
      </c>
      <c r="E190" s="234">
        <v>2969</v>
      </c>
      <c r="F190" s="234">
        <v>2978</v>
      </c>
      <c r="G190" s="234">
        <v>9</v>
      </c>
      <c r="H190" s="183">
        <v>7590</v>
      </c>
      <c r="I190" s="178">
        <v>9300</v>
      </c>
      <c r="J190" s="178">
        <v>16890</v>
      </c>
      <c r="K190" s="266">
        <v>16890</v>
      </c>
      <c r="L190" s="1" t="s">
        <v>460</v>
      </c>
      <c r="M190" s="276">
        <v>0</v>
      </c>
    </row>
    <row r="191" spans="1:13" x14ac:dyDescent="0.25">
      <c r="A191" s="339">
        <v>110</v>
      </c>
      <c r="B191" s="179" t="s">
        <v>308</v>
      </c>
      <c r="C191" s="180" t="s">
        <v>309</v>
      </c>
      <c r="D191" s="181" t="s">
        <v>335</v>
      </c>
      <c r="E191" s="234">
        <v>51</v>
      </c>
      <c r="F191" s="234">
        <v>51</v>
      </c>
      <c r="G191" s="234">
        <v>0</v>
      </c>
      <c r="H191" s="276">
        <v>3000</v>
      </c>
      <c r="I191" s="178">
        <v>3000</v>
      </c>
      <c r="J191" s="178">
        <v>6000</v>
      </c>
      <c r="K191" s="266"/>
      <c r="L191" s="1"/>
      <c r="M191" s="276"/>
    </row>
    <row r="192" spans="1:13" x14ac:dyDescent="0.25">
      <c r="A192" s="339">
        <v>111</v>
      </c>
      <c r="B192" s="179" t="s">
        <v>432</v>
      </c>
      <c r="C192" s="180" t="s">
        <v>311</v>
      </c>
      <c r="D192" s="181" t="s">
        <v>334</v>
      </c>
      <c r="E192" s="241">
        <v>2241</v>
      </c>
      <c r="F192" s="241">
        <v>2241</v>
      </c>
      <c r="G192" s="234">
        <v>0</v>
      </c>
      <c r="H192" s="276">
        <v>0</v>
      </c>
      <c r="I192" s="178">
        <v>3000</v>
      </c>
      <c r="J192" s="178">
        <v>3000</v>
      </c>
      <c r="K192" s="266">
        <v>3000</v>
      </c>
      <c r="L192" s="1" t="s">
        <v>434</v>
      </c>
      <c r="M192" s="276">
        <v>0</v>
      </c>
    </row>
    <row r="193" spans="1:13" x14ac:dyDescent="0.25">
      <c r="A193" s="339">
        <v>112</v>
      </c>
      <c r="B193" s="248" t="s">
        <v>312</v>
      </c>
      <c r="C193" s="249" t="s">
        <v>313</v>
      </c>
      <c r="D193" s="250" t="s">
        <v>335</v>
      </c>
      <c r="E193" s="267">
        <v>2579</v>
      </c>
      <c r="F193" s="267">
        <v>2587</v>
      </c>
      <c r="G193" s="234">
        <v>8</v>
      </c>
      <c r="H193" s="276">
        <v>0</v>
      </c>
      <c r="I193" s="178">
        <v>8600</v>
      </c>
      <c r="J193" s="178">
        <v>8600</v>
      </c>
      <c r="K193" s="266"/>
      <c r="L193" s="1"/>
      <c r="M193" s="276"/>
    </row>
    <row r="194" spans="1:13" x14ac:dyDescent="0.25">
      <c r="A194" s="339">
        <v>113</v>
      </c>
      <c r="B194" s="185" t="s">
        <v>314</v>
      </c>
      <c r="C194" s="58" t="s">
        <v>315</v>
      </c>
      <c r="D194" s="70" t="s">
        <v>335</v>
      </c>
      <c r="E194" s="234">
        <v>1315</v>
      </c>
      <c r="F194" s="234">
        <v>1339</v>
      </c>
      <c r="G194" s="234">
        <v>24</v>
      </c>
      <c r="H194" s="276">
        <v>12000</v>
      </c>
      <c r="I194" s="178">
        <v>22950</v>
      </c>
      <c r="J194" s="178">
        <v>34950</v>
      </c>
      <c r="K194" s="266"/>
      <c r="L194" s="1"/>
      <c r="M194" s="276"/>
    </row>
    <row r="195" spans="1:13" x14ac:dyDescent="0.25">
      <c r="A195" s="339">
        <v>114</v>
      </c>
      <c r="B195" s="185" t="s">
        <v>316</v>
      </c>
      <c r="C195" s="58" t="s">
        <v>317</v>
      </c>
      <c r="D195" s="70" t="s">
        <v>335</v>
      </c>
      <c r="E195" s="234">
        <v>4044</v>
      </c>
      <c r="F195" s="234">
        <v>4045</v>
      </c>
      <c r="G195" s="234">
        <v>1</v>
      </c>
      <c r="H195" s="309">
        <v>100</v>
      </c>
      <c r="I195" s="178">
        <v>3700</v>
      </c>
      <c r="J195" s="178">
        <v>3600</v>
      </c>
      <c r="K195" s="266"/>
      <c r="L195" s="1"/>
      <c r="M195" s="276"/>
    </row>
    <row r="196" spans="1:13" x14ac:dyDescent="0.25">
      <c r="A196" s="339">
        <v>115</v>
      </c>
      <c r="B196" s="185" t="s">
        <v>318</v>
      </c>
      <c r="C196" s="58" t="s">
        <v>319</v>
      </c>
      <c r="D196" s="70" t="s">
        <v>335</v>
      </c>
      <c r="E196" s="234">
        <v>1068</v>
      </c>
      <c r="F196" s="234">
        <v>1070</v>
      </c>
      <c r="G196" s="234">
        <v>2</v>
      </c>
      <c r="H196" s="276">
        <v>18800</v>
      </c>
      <c r="I196" s="178">
        <v>4400</v>
      </c>
      <c r="J196" s="178">
        <v>23200</v>
      </c>
      <c r="K196" s="266"/>
      <c r="L196" s="1"/>
      <c r="M196" s="276"/>
    </row>
    <row r="197" spans="1:13" x14ac:dyDescent="0.25">
      <c r="A197" s="339">
        <v>116</v>
      </c>
      <c r="B197" s="185" t="s">
        <v>320</v>
      </c>
      <c r="C197" s="58" t="s">
        <v>321</v>
      </c>
      <c r="D197" s="70" t="s">
        <v>335</v>
      </c>
      <c r="E197" s="234">
        <v>1283</v>
      </c>
      <c r="F197" s="234">
        <v>1290</v>
      </c>
      <c r="G197" s="234">
        <v>7</v>
      </c>
      <c r="H197" s="276">
        <v>27600</v>
      </c>
      <c r="I197" s="178">
        <v>7900</v>
      </c>
      <c r="J197" s="178">
        <v>35500</v>
      </c>
      <c r="K197" s="266"/>
      <c r="L197" s="1"/>
      <c r="M197" s="276"/>
    </row>
    <row r="198" spans="1:13" x14ac:dyDescent="0.25">
      <c r="A198" s="339">
        <v>117</v>
      </c>
      <c r="B198" s="185" t="s">
        <v>362</v>
      </c>
      <c r="C198" s="58" t="s">
        <v>323</v>
      </c>
      <c r="D198" s="70" t="s">
        <v>335</v>
      </c>
      <c r="E198" s="234">
        <v>2876</v>
      </c>
      <c r="F198" s="234">
        <v>1905</v>
      </c>
      <c r="G198" s="234" t="s">
        <v>457</v>
      </c>
      <c r="H198" s="310">
        <v>70650</v>
      </c>
      <c r="I198" s="178">
        <v>3000</v>
      </c>
      <c r="J198" s="178">
        <v>73650</v>
      </c>
      <c r="K198" s="266"/>
      <c r="L198" s="1"/>
      <c r="M198" s="313"/>
    </row>
    <row r="199" spans="1:13" x14ac:dyDescent="0.25">
      <c r="A199" s="339">
        <v>118</v>
      </c>
      <c r="B199" s="185" t="s">
        <v>324</v>
      </c>
      <c r="C199" s="58" t="s">
        <v>325</v>
      </c>
      <c r="D199" s="70" t="s">
        <v>335</v>
      </c>
      <c r="E199" s="234">
        <v>444</v>
      </c>
      <c r="F199" s="234">
        <v>459</v>
      </c>
      <c r="G199" s="234">
        <v>15</v>
      </c>
      <c r="H199" s="276">
        <v>10700</v>
      </c>
      <c r="I199" s="178">
        <v>13500</v>
      </c>
      <c r="J199" s="178">
        <v>24200</v>
      </c>
      <c r="K199" s="266">
        <v>24200</v>
      </c>
      <c r="L199" s="1" t="s">
        <v>434</v>
      </c>
      <c r="M199" s="276">
        <v>0</v>
      </c>
    </row>
    <row r="200" spans="1:13" x14ac:dyDescent="0.25">
      <c r="A200" s="339">
        <v>119</v>
      </c>
      <c r="B200" s="179" t="s">
        <v>326</v>
      </c>
      <c r="C200" s="180" t="s">
        <v>327</v>
      </c>
      <c r="D200" s="181" t="s">
        <v>335</v>
      </c>
      <c r="E200" s="241">
        <v>2944</v>
      </c>
      <c r="F200" s="241">
        <v>2957</v>
      </c>
      <c r="G200" s="234">
        <v>13</v>
      </c>
      <c r="H200" s="276">
        <v>3000</v>
      </c>
      <c r="I200" s="178">
        <v>12100</v>
      </c>
      <c r="J200" s="178">
        <v>15100</v>
      </c>
      <c r="K200" s="266">
        <v>15100</v>
      </c>
      <c r="L200" s="1" t="s">
        <v>460</v>
      </c>
      <c r="M200" s="276">
        <v>0</v>
      </c>
    </row>
    <row r="201" spans="1:13" x14ac:dyDescent="0.25">
      <c r="A201" s="339">
        <v>120</v>
      </c>
      <c r="B201" s="179" t="s">
        <v>328</v>
      </c>
      <c r="C201" s="180" t="s">
        <v>329</v>
      </c>
      <c r="D201" s="181" t="s">
        <v>335</v>
      </c>
      <c r="E201" s="241">
        <v>2546</v>
      </c>
      <c r="F201" s="241"/>
      <c r="G201" s="234" t="s">
        <v>457</v>
      </c>
      <c r="H201" s="276">
        <v>8800</v>
      </c>
      <c r="I201" s="178">
        <v>3000</v>
      </c>
      <c r="J201" s="178">
        <v>11800</v>
      </c>
      <c r="K201" s="266">
        <v>11800</v>
      </c>
      <c r="L201" s="1" t="s">
        <v>434</v>
      </c>
      <c r="M201" s="276">
        <v>0</v>
      </c>
    </row>
    <row r="202" spans="1:13" x14ac:dyDescent="0.25">
      <c r="A202" s="339">
        <v>121</v>
      </c>
      <c r="B202" s="185" t="s">
        <v>363</v>
      </c>
      <c r="C202" s="58" t="s">
        <v>331</v>
      </c>
      <c r="D202" s="70" t="s">
        <v>335</v>
      </c>
      <c r="E202" s="234">
        <v>1218</v>
      </c>
      <c r="F202" s="234">
        <v>1222</v>
      </c>
      <c r="G202" s="234">
        <v>4</v>
      </c>
      <c r="H202" s="309">
        <v>1900</v>
      </c>
      <c r="I202" s="178">
        <v>5800</v>
      </c>
      <c r="J202" s="178">
        <v>3900</v>
      </c>
      <c r="K202" s="266"/>
      <c r="L202" s="1"/>
      <c r="M202" s="276">
        <v>3900</v>
      </c>
    </row>
    <row r="203" spans="1:13" x14ac:dyDescent="0.25">
      <c r="A203" s="339">
        <f>A202+1</f>
        <v>122</v>
      </c>
      <c r="B203" s="185" t="s">
        <v>332</v>
      </c>
      <c r="C203" s="58" t="s">
        <v>333</v>
      </c>
      <c r="D203" s="70" t="s">
        <v>335</v>
      </c>
      <c r="E203" s="234">
        <v>958</v>
      </c>
      <c r="F203" s="234">
        <v>977</v>
      </c>
      <c r="G203" s="234">
        <v>19</v>
      </c>
      <c r="H203" s="276">
        <v>57550</v>
      </c>
      <c r="I203" s="178">
        <v>17700</v>
      </c>
      <c r="J203" s="178">
        <v>75250</v>
      </c>
      <c r="K203" s="266">
        <v>6000</v>
      </c>
      <c r="L203" s="1" t="s">
        <v>434</v>
      </c>
      <c r="M203" s="276">
        <v>69250</v>
      </c>
    </row>
    <row r="204" spans="1:13" x14ac:dyDescent="0.25">
      <c r="A204" s="339">
        <v>123</v>
      </c>
      <c r="B204" s="186" t="s">
        <v>449</v>
      </c>
      <c r="C204" s="1"/>
      <c r="D204" s="70" t="s">
        <v>335</v>
      </c>
      <c r="E204" s="245"/>
      <c r="F204" s="245"/>
      <c r="G204" s="245"/>
      <c r="H204" s="276">
        <v>18670</v>
      </c>
      <c r="I204" s="266">
        <v>18670</v>
      </c>
      <c r="J204" s="177">
        <v>18670</v>
      </c>
      <c r="K204" s="266"/>
      <c r="L204" s="1"/>
      <c r="M204" s="276">
        <v>18670</v>
      </c>
    </row>
  </sheetData>
  <mergeCells count="2">
    <mergeCell ref="A5:C5"/>
    <mergeCell ref="A80:C80"/>
  </mergeCells>
  <pageMargins left="0.7" right="0.7" top="0.75" bottom="0.75" header="0.3" footer="0.3"/>
  <pageSetup paperSize="9" orientation="portrait" horizontalDpi="0" verticalDpi="0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3:M203"/>
  <sheetViews>
    <sheetView tabSelected="1" topLeftCell="B65" workbookViewId="0">
      <selection activeCell="L203" sqref="L203"/>
    </sheetView>
  </sheetViews>
  <sheetFormatPr baseColWidth="10" defaultRowHeight="15" x14ac:dyDescent="0.25"/>
  <cols>
    <col min="1" max="1" width="6" customWidth="1"/>
    <col min="2" max="2" width="50" customWidth="1"/>
    <col min="3" max="3" width="19.5703125" customWidth="1"/>
  </cols>
  <sheetData>
    <row r="3" spans="1:13" ht="15.75" thickBot="1" x14ac:dyDescent="0.3"/>
    <row r="4" spans="1:13" x14ac:dyDescent="0.25">
      <c r="A4" s="378" t="s">
        <v>8</v>
      </c>
      <c r="B4" s="378"/>
      <c r="C4" s="378"/>
      <c r="D4" s="132"/>
      <c r="E4" s="131"/>
      <c r="F4" s="236"/>
      <c r="G4" s="236"/>
      <c r="H4" s="131"/>
      <c r="I4" s="131"/>
      <c r="J4" s="133"/>
      <c r="K4" s="269"/>
    </row>
    <row r="5" spans="1:13" x14ac:dyDescent="0.25">
      <c r="A5" s="91" t="s">
        <v>3</v>
      </c>
      <c r="B5" s="128" t="s">
        <v>0</v>
      </c>
      <c r="C5" s="128" t="s">
        <v>1</v>
      </c>
      <c r="D5" s="129" t="s">
        <v>2</v>
      </c>
      <c r="E5" s="129" t="s">
        <v>336</v>
      </c>
      <c r="F5" s="235" t="s">
        <v>337</v>
      </c>
      <c r="G5" s="235" t="s">
        <v>10</v>
      </c>
      <c r="H5" s="129" t="s">
        <v>356</v>
      </c>
      <c r="I5" s="129" t="s">
        <v>357</v>
      </c>
      <c r="J5" s="128" t="s">
        <v>11</v>
      </c>
      <c r="K5" s="270" t="s">
        <v>12</v>
      </c>
      <c r="L5" s="129" t="s">
        <v>355</v>
      </c>
      <c r="M5" s="130" t="s">
        <v>13</v>
      </c>
    </row>
    <row r="6" spans="1:13" x14ac:dyDescent="0.25">
      <c r="A6" s="159">
        <v>1</v>
      </c>
      <c r="B6" s="160" t="s">
        <v>14</v>
      </c>
      <c r="C6" s="161" t="s">
        <v>100</v>
      </c>
      <c r="D6" s="154" t="s">
        <v>5</v>
      </c>
      <c r="E6" s="246">
        <v>2795</v>
      </c>
      <c r="F6" s="246">
        <v>2795</v>
      </c>
      <c r="G6" s="237">
        <v>0</v>
      </c>
      <c r="H6" s="271">
        <v>8550</v>
      </c>
      <c r="I6" s="164">
        <v>3000</v>
      </c>
      <c r="J6" s="176">
        <v>11550</v>
      </c>
      <c r="K6" s="271"/>
      <c r="L6" s="160"/>
      <c r="M6" s="164"/>
    </row>
    <row r="7" spans="1:13" x14ac:dyDescent="0.25">
      <c r="A7" s="85">
        <f>A6+1</f>
        <v>2</v>
      </c>
      <c r="B7" s="1" t="s">
        <v>15</v>
      </c>
      <c r="C7" s="4"/>
      <c r="D7" s="70" t="s">
        <v>5</v>
      </c>
      <c r="E7" s="233">
        <v>1</v>
      </c>
      <c r="F7" s="233">
        <v>1</v>
      </c>
      <c r="G7" s="238">
        <v>0</v>
      </c>
      <c r="H7" s="276">
        <v>6000</v>
      </c>
      <c r="I7" s="177">
        <v>3000</v>
      </c>
      <c r="J7" s="178">
        <v>12000</v>
      </c>
      <c r="K7" s="266"/>
      <c r="L7" s="1"/>
      <c r="M7" s="183"/>
    </row>
    <row r="8" spans="1:13" x14ac:dyDescent="0.25">
      <c r="A8" s="159">
        <f t="shared" ref="A8:A53" si="0">A7+1</f>
        <v>3</v>
      </c>
      <c r="B8" s="299" t="s">
        <v>462</v>
      </c>
      <c r="C8" s="315" t="s">
        <v>101</v>
      </c>
      <c r="D8" s="301" t="s">
        <v>5</v>
      </c>
      <c r="E8" s="316">
        <v>2327</v>
      </c>
      <c r="F8" s="316">
        <v>2350</v>
      </c>
      <c r="G8" s="237">
        <v>23</v>
      </c>
      <c r="H8" s="271">
        <v>0</v>
      </c>
      <c r="I8" s="164">
        <v>15150</v>
      </c>
      <c r="J8" s="176">
        <v>15150</v>
      </c>
      <c r="K8" s="271"/>
      <c r="L8" s="160"/>
      <c r="M8" s="164"/>
    </row>
    <row r="9" spans="1:13" x14ac:dyDescent="0.25">
      <c r="A9" s="85">
        <f t="shared" si="0"/>
        <v>4</v>
      </c>
      <c r="B9" s="248" t="s">
        <v>17</v>
      </c>
      <c r="C9" s="292" t="s">
        <v>373</v>
      </c>
      <c r="D9" s="250" t="s">
        <v>5</v>
      </c>
      <c r="E9" s="233">
        <v>3010</v>
      </c>
      <c r="F9" s="233">
        <v>3023</v>
      </c>
      <c r="G9" s="238">
        <v>13</v>
      </c>
      <c r="H9" s="276">
        <v>0</v>
      </c>
      <c r="I9" s="177">
        <v>12100</v>
      </c>
      <c r="J9" s="178">
        <v>12100</v>
      </c>
      <c r="K9" s="266"/>
      <c r="L9" s="1"/>
      <c r="M9" s="183"/>
    </row>
    <row r="10" spans="1:13" x14ac:dyDescent="0.25">
      <c r="A10" s="85">
        <f t="shared" si="0"/>
        <v>5</v>
      </c>
      <c r="B10" s="1" t="s">
        <v>18</v>
      </c>
      <c r="C10" s="4" t="s">
        <v>377</v>
      </c>
      <c r="D10" s="70" t="s">
        <v>5</v>
      </c>
      <c r="E10" s="233">
        <v>2104</v>
      </c>
      <c r="F10" s="233">
        <v>2122</v>
      </c>
      <c r="G10" s="238">
        <v>18</v>
      </c>
      <c r="H10" s="276">
        <v>0</v>
      </c>
      <c r="I10" s="177">
        <v>16650</v>
      </c>
      <c r="J10" s="177">
        <v>16650</v>
      </c>
      <c r="K10" s="266"/>
      <c r="L10" s="1"/>
      <c r="M10" s="183"/>
    </row>
    <row r="11" spans="1:13" x14ac:dyDescent="0.25">
      <c r="A11" s="85">
        <f t="shared" si="0"/>
        <v>6</v>
      </c>
      <c r="B11" s="1" t="s">
        <v>19</v>
      </c>
      <c r="C11" s="4"/>
      <c r="D11" s="70" t="s">
        <v>5</v>
      </c>
      <c r="E11" s="233">
        <v>375</v>
      </c>
      <c r="F11" s="233">
        <v>375</v>
      </c>
      <c r="G11" s="238">
        <v>0</v>
      </c>
      <c r="H11" s="276">
        <v>13900</v>
      </c>
      <c r="I11" s="177">
        <v>3000</v>
      </c>
      <c r="J11" s="178">
        <v>16900</v>
      </c>
      <c r="K11" s="266"/>
      <c r="L11" s="1"/>
      <c r="M11" s="183"/>
    </row>
    <row r="12" spans="1:13" x14ac:dyDescent="0.25">
      <c r="A12" s="85">
        <f t="shared" si="0"/>
        <v>7</v>
      </c>
      <c r="B12" s="1" t="s">
        <v>20</v>
      </c>
      <c r="C12" s="4" t="s">
        <v>427</v>
      </c>
      <c r="D12" s="70" t="s">
        <v>5</v>
      </c>
      <c r="E12" s="233">
        <v>5835</v>
      </c>
      <c r="F12" s="233">
        <v>5884</v>
      </c>
      <c r="G12" s="238">
        <v>49</v>
      </c>
      <c r="H12" s="276">
        <v>0</v>
      </c>
      <c r="I12" s="177">
        <v>55850</v>
      </c>
      <c r="J12" s="177">
        <v>55850</v>
      </c>
      <c r="K12" s="266"/>
      <c r="L12" s="1"/>
      <c r="M12" s="183"/>
    </row>
    <row r="13" spans="1:13" x14ac:dyDescent="0.25">
      <c r="A13" s="85">
        <f t="shared" si="0"/>
        <v>8</v>
      </c>
      <c r="B13" s="1" t="s">
        <v>21</v>
      </c>
      <c r="C13" s="4" t="s">
        <v>378</v>
      </c>
      <c r="D13" s="70" t="s">
        <v>5</v>
      </c>
      <c r="E13" s="233">
        <v>1780</v>
      </c>
      <c r="F13" s="233">
        <v>1795</v>
      </c>
      <c r="G13" s="238">
        <v>15</v>
      </c>
      <c r="H13" s="276">
        <v>10700</v>
      </c>
      <c r="I13" s="177">
        <v>13500</v>
      </c>
      <c r="J13" s="177">
        <v>24200</v>
      </c>
      <c r="K13" s="266"/>
      <c r="L13" s="1"/>
      <c r="M13" s="183"/>
    </row>
    <row r="14" spans="1:13" x14ac:dyDescent="0.25">
      <c r="A14" s="85">
        <f t="shared" si="0"/>
        <v>9</v>
      </c>
      <c r="B14" s="1" t="s">
        <v>22</v>
      </c>
      <c r="C14" s="4" t="s">
        <v>379</v>
      </c>
      <c r="D14" s="70" t="s">
        <v>5</v>
      </c>
      <c r="E14" s="233">
        <v>493</v>
      </c>
      <c r="F14" s="233">
        <v>503</v>
      </c>
      <c r="G14" s="238">
        <v>10</v>
      </c>
      <c r="H14" s="276">
        <v>0</v>
      </c>
      <c r="I14" s="177">
        <v>10000</v>
      </c>
      <c r="J14" s="177">
        <v>10000</v>
      </c>
      <c r="K14" s="266"/>
      <c r="L14" s="1"/>
      <c r="M14" s="183"/>
    </row>
    <row r="15" spans="1:13" x14ac:dyDescent="0.25">
      <c r="A15" s="85">
        <f t="shared" si="0"/>
        <v>10</v>
      </c>
      <c r="B15" s="1" t="s">
        <v>380</v>
      </c>
      <c r="C15" s="4" t="s">
        <v>386</v>
      </c>
      <c r="D15" s="70" t="s">
        <v>5</v>
      </c>
      <c r="E15" s="233">
        <v>9883</v>
      </c>
      <c r="F15" s="233">
        <v>9998</v>
      </c>
      <c r="G15" s="238">
        <v>115</v>
      </c>
      <c r="H15" s="276">
        <v>279700</v>
      </c>
      <c r="I15" s="177">
        <v>148250</v>
      </c>
      <c r="J15" s="178">
        <v>427950</v>
      </c>
      <c r="K15" s="266"/>
      <c r="L15" s="1"/>
      <c r="M15" s="183"/>
    </row>
    <row r="16" spans="1:13" x14ac:dyDescent="0.25">
      <c r="A16" s="85">
        <f t="shared" si="0"/>
        <v>11</v>
      </c>
      <c r="B16" s="248" t="s">
        <v>24</v>
      </c>
      <c r="C16" s="292" t="s">
        <v>382</v>
      </c>
      <c r="D16" s="250" t="s">
        <v>5</v>
      </c>
      <c r="E16" s="294">
        <v>3336</v>
      </c>
      <c r="F16" s="294">
        <v>3349</v>
      </c>
      <c r="G16" s="238">
        <v>13</v>
      </c>
      <c r="H16" s="276">
        <v>2500</v>
      </c>
      <c r="I16" s="177">
        <v>12100</v>
      </c>
      <c r="J16" s="177">
        <v>14600</v>
      </c>
      <c r="K16" s="266"/>
      <c r="L16" s="1"/>
      <c r="M16" s="183"/>
    </row>
    <row r="17" spans="1:13" x14ac:dyDescent="0.25">
      <c r="A17" s="85">
        <f t="shared" si="0"/>
        <v>12</v>
      </c>
      <c r="B17" s="248" t="s">
        <v>25</v>
      </c>
      <c r="C17" s="292" t="s">
        <v>383</v>
      </c>
      <c r="D17" s="250" t="s">
        <v>5</v>
      </c>
      <c r="E17" s="294">
        <v>1081</v>
      </c>
      <c r="F17" s="294">
        <v>1090</v>
      </c>
      <c r="G17" s="238">
        <v>9</v>
      </c>
      <c r="H17" s="276">
        <v>9300</v>
      </c>
      <c r="I17" s="177">
        <v>9300</v>
      </c>
      <c r="J17" s="178">
        <v>18600</v>
      </c>
      <c r="K17" s="266"/>
      <c r="L17" s="1"/>
      <c r="M17" s="183"/>
    </row>
    <row r="18" spans="1:13" x14ac:dyDescent="0.25">
      <c r="A18" s="85">
        <f t="shared" si="0"/>
        <v>13</v>
      </c>
      <c r="B18" s="248" t="s">
        <v>26</v>
      </c>
      <c r="C18" s="292" t="s">
        <v>384</v>
      </c>
      <c r="D18" s="250" t="s">
        <v>5</v>
      </c>
      <c r="E18" s="294">
        <v>2340</v>
      </c>
      <c r="F18" s="294">
        <v>2347</v>
      </c>
      <c r="G18" s="238">
        <v>7</v>
      </c>
      <c r="H18" s="276">
        <v>3000</v>
      </c>
      <c r="I18" s="177">
        <v>7900</v>
      </c>
      <c r="J18" s="178">
        <v>10900</v>
      </c>
      <c r="K18" s="266"/>
      <c r="L18" s="1"/>
      <c r="M18" s="183"/>
    </row>
    <row r="19" spans="1:13" x14ac:dyDescent="0.25">
      <c r="A19" s="85">
        <f t="shared" si="0"/>
        <v>14</v>
      </c>
      <c r="B19" s="248" t="s">
        <v>381</v>
      </c>
      <c r="C19" s="292" t="s">
        <v>386</v>
      </c>
      <c r="D19" s="250" t="s">
        <v>5</v>
      </c>
      <c r="E19" s="294">
        <v>2267</v>
      </c>
      <c r="F19" s="294">
        <v>2274</v>
      </c>
      <c r="G19" s="317">
        <v>7</v>
      </c>
      <c r="H19" s="276">
        <v>20700</v>
      </c>
      <c r="I19" s="177">
        <v>7900</v>
      </c>
      <c r="J19" s="178">
        <v>28600</v>
      </c>
      <c r="K19" s="266"/>
      <c r="L19" s="1"/>
      <c r="M19" s="183"/>
    </row>
    <row r="20" spans="1:13" x14ac:dyDescent="0.25">
      <c r="A20" s="85">
        <f t="shared" si="0"/>
        <v>15</v>
      </c>
      <c r="B20" s="350" t="s">
        <v>367</v>
      </c>
      <c r="C20" s="351" t="s">
        <v>385</v>
      </c>
      <c r="D20" s="352" t="s">
        <v>5</v>
      </c>
      <c r="E20" s="353"/>
      <c r="F20" s="353"/>
      <c r="G20" s="354"/>
      <c r="H20" s="355">
        <v>0</v>
      </c>
      <c r="I20" s="356"/>
      <c r="J20" s="357"/>
      <c r="K20" s="355"/>
      <c r="L20" s="358"/>
      <c r="M20" s="356"/>
    </row>
    <row r="21" spans="1:13" x14ac:dyDescent="0.25">
      <c r="A21" s="85">
        <f t="shared" si="0"/>
        <v>16</v>
      </c>
      <c r="B21" s="1" t="s">
        <v>29</v>
      </c>
      <c r="C21" s="4" t="s">
        <v>387</v>
      </c>
      <c r="D21" s="70" t="s">
        <v>7</v>
      </c>
      <c r="E21" s="233">
        <v>1104</v>
      </c>
      <c r="F21" s="233">
        <v>1105</v>
      </c>
      <c r="G21" s="238">
        <v>1</v>
      </c>
      <c r="H21" s="276">
        <v>0</v>
      </c>
      <c r="I21" s="177">
        <v>3700</v>
      </c>
      <c r="J21" s="178">
        <v>3700</v>
      </c>
      <c r="K21" s="266"/>
      <c r="L21" s="1"/>
      <c r="M21" s="183"/>
    </row>
    <row r="22" spans="1:13" x14ac:dyDescent="0.25">
      <c r="A22" s="85">
        <f t="shared" si="0"/>
        <v>17</v>
      </c>
      <c r="B22" s="1" t="s">
        <v>30</v>
      </c>
      <c r="C22" s="4" t="s">
        <v>388</v>
      </c>
      <c r="D22" s="70" t="s">
        <v>5</v>
      </c>
      <c r="E22" s="233">
        <v>883</v>
      </c>
      <c r="F22" s="233">
        <v>883</v>
      </c>
      <c r="G22" s="238">
        <v>0</v>
      </c>
      <c r="H22" s="276">
        <v>29700</v>
      </c>
      <c r="I22" s="177">
        <v>3000</v>
      </c>
      <c r="J22" s="178">
        <v>32700</v>
      </c>
      <c r="K22" s="266"/>
      <c r="L22" s="1"/>
      <c r="M22" s="183"/>
    </row>
    <row r="23" spans="1:13" x14ac:dyDescent="0.25">
      <c r="A23" s="85">
        <f t="shared" si="0"/>
        <v>18</v>
      </c>
      <c r="B23" s="1" t="s">
        <v>338</v>
      </c>
      <c r="C23" s="4" t="s">
        <v>339</v>
      </c>
      <c r="D23" s="70" t="s">
        <v>5</v>
      </c>
      <c r="E23" s="233">
        <v>1517</v>
      </c>
      <c r="F23" s="233">
        <v>1533</v>
      </c>
      <c r="G23" s="238">
        <v>16</v>
      </c>
      <c r="H23" s="276">
        <v>15600</v>
      </c>
      <c r="I23" s="177">
        <v>14550</v>
      </c>
      <c r="J23" s="178">
        <v>30150</v>
      </c>
      <c r="K23" s="266"/>
      <c r="L23" s="1"/>
      <c r="M23" s="183"/>
    </row>
    <row r="24" spans="1:13" x14ac:dyDescent="0.25">
      <c r="A24" s="85">
        <f t="shared" si="0"/>
        <v>19</v>
      </c>
      <c r="B24" s="1" t="s">
        <v>32</v>
      </c>
      <c r="C24" s="4" t="s">
        <v>389</v>
      </c>
      <c r="D24" s="70" t="s">
        <v>5</v>
      </c>
      <c r="E24" s="233">
        <v>3</v>
      </c>
      <c r="F24" s="233">
        <v>3</v>
      </c>
      <c r="G24" s="238">
        <v>0</v>
      </c>
      <c r="H24" s="276">
        <v>0</v>
      </c>
      <c r="I24" s="177">
        <v>3000</v>
      </c>
      <c r="J24" s="178">
        <v>3000</v>
      </c>
      <c r="K24" s="266"/>
      <c r="L24" s="1"/>
      <c r="M24" s="183"/>
    </row>
    <row r="25" spans="1:13" x14ac:dyDescent="0.25">
      <c r="A25" s="85">
        <f t="shared" si="0"/>
        <v>20</v>
      </c>
      <c r="B25" s="1" t="s">
        <v>33</v>
      </c>
      <c r="C25" s="4" t="s">
        <v>390</v>
      </c>
      <c r="D25" s="70" t="s">
        <v>5</v>
      </c>
      <c r="E25" s="233">
        <v>2186</v>
      </c>
      <c r="F25" s="233">
        <v>2215</v>
      </c>
      <c r="G25" s="238">
        <v>29</v>
      </c>
      <c r="H25" s="276">
        <v>30650</v>
      </c>
      <c r="I25" s="177">
        <v>28200</v>
      </c>
      <c r="J25" s="178">
        <v>58850</v>
      </c>
      <c r="K25" s="266"/>
      <c r="L25" s="1"/>
      <c r="M25" s="183"/>
    </row>
    <row r="26" spans="1:13" x14ac:dyDescent="0.25">
      <c r="A26" s="85">
        <f t="shared" si="0"/>
        <v>21</v>
      </c>
      <c r="B26" s="248" t="s">
        <v>372</v>
      </c>
      <c r="C26" s="292" t="s">
        <v>391</v>
      </c>
      <c r="D26" s="250" t="s">
        <v>5</v>
      </c>
      <c r="E26" s="233">
        <v>1505</v>
      </c>
      <c r="F26" s="233">
        <v>1513</v>
      </c>
      <c r="G26" s="238">
        <v>8</v>
      </c>
      <c r="H26" s="276">
        <v>0</v>
      </c>
      <c r="I26" s="177">
        <v>8600</v>
      </c>
      <c r="J26" s="178">
        <v>8600</v>
      </c>
      <c r="K26" s="266"/>
      <c r="L26" s="1"/>
      <c r="M26" s="183"/>
    </row>
    <row r="27" spans="1:13" x14ac:dyDescent="0.25">
      <c r="A27" s="85">
        <f t="shared" si="0"/>
        <v>22</v>
      </c>
      <c r="B27" s="1" t="s">
        <v>35</v>
      </c>
      <c r="C27" s="4" t="s">
        <v>340</v>
      </c>
      <c r="D27" s="70" t="s">
        <v>5</v>
      </c>
      <c r="E27" s="233">
        <v>88</v>
      </c>
      <c r="F27" s="233">
        <v>88</v>
      </c>
      <c r="G27" s="238">
        <v>0</v>
      </c>
      <c r="H27" s="276">
        <v>9000</v>
      </c>
      <c r="I27" s="177">
        <v>3000</v>
      </c>
      <c r="J27" s="178">
        <v>12000</v>
      </c>
      <c r="K27" s="266"/>
      <c r="L27" s="1"/>
      <c r="M27" s="183"/>
    </row>
    <row r="28" spans="1:13" x14ac:dyDescent="0.25">
      <c r="A28" s="159">
        <f t="shared" si="0"/>
        <v>23</v>
      </c>
      <c r="B28" s="160" t="s">
        <v>36</v>
      </c>
      <c r="C28" s="161" t="s">
        <v>341</v>
      </c>
      <c r="D28" s="154" t="s">
        <v>5</v>
      </c>
      <c r="E28" s="246">
        <v>1835</v>
      </c>
      <c r="F28" s="246">
        <v>1846</v>
      </c>
      <c r="G28" s="237">
        <v>11</v>
      </c>
      <c r="H28" s="271">
        <v>7580</v>
      </c>
      <c r="I28" s="164">
        <v>5350</v>
      </c>
      <c r="J28" s="176">
        <v>12930</v>
      </c>
      <c r="K28" s="271"/>
      <c r="L28" s="160"/>
      <c r="M28" s="164"/>
    </row>
    <row r="29" spans="1:13" x14ac:dyDescent="0.25">
      <c r="A29" s="85">
        <f t="shared" si="0"/>
        <v>24</v>
      </c>
      <c r="B29" s="358" t="s">
        <v>37</v>
      </c>
      <c r="C29" s="351" t="s">
        <v>342</v>
      </c>
      <c r="D29" s="352" t="s">
        <v>5</v>
      </c>
      <c r="E29" s="353"/>
      <c r="F29" s="353" t="s">
        <v>457</v>
      </c>
      <c r="G29" s="354"/>
      <c r="H29" s="355">
        <v>0</v>
      </c>
      <c r="I29" s="356"/>
      <c r="J29" s="357"/>
      <c r="K29" s="355"/>
      <c r="L29" s="358"/>
      <c r="M29" s="356"/>
    </row>
    <row r="30" spans="1:13" x14ac:dyDescent="0.25">
      <c r="A30" s="85">
        <f t="shared" si="0"/>
        <v>25</v>
      </c>
      <c r="B30" s="1" t="s">
        <v>38</v>
      </c>
      <c r="C30" s="4" t="s">
        <v>343</v>
      </c>
      <c r="D30" s="70" t="s">
        <v>5</v>
      </c>
      <c r="E30" s="233">
        <v>838</v>
      </c>
      <c r="F30" s="233">
        <v>867</v>
      </c>
      <c r="G30" s="238">
        <v>29</v>
      </c>
      <c r="H30" s="232">
        <v>34180</v>
      </c>
      <c r="I30" s="177">
        <v>28200</v>
      </c>
      <c r="J30" s="306"/>
      <c r="K30" s="266"/>
      <c r="L30" s="1"/>
      <c r="M30" s="193"/>
    </row>
    <row r="31" spans="1:13" x14ac:dyDescent="0.25">
      <c r="A31" s="85">
        <f t="shared" si="0"/>
        <v>26</v>
      </c>
      <c r="B31" s="1" t="s">
        <v>39</v>
      </c>
      <c r="C31" s="4" t="s">
        <v>344</v>
      </c>
      <c r="D31" s="70" t="s">
        <v>5</v>
      </c>
      <c r="E31" s="233">
        <v>1933</v>
      </c>
      <c r="F31" s="233">
        <v>1949</v>
      </c>
      <c r="G31" s="238">
        <v>16</v>
      </c>
      <c r="H31" s="276">
        <v>0</v>
      </c>
      <c r="I31" s="177">
        <v>14550</v>
      </c>
      <c r="J31" s="178">
        <v>14550</v>
      </c>
      <c r="K31" s="266"/>
      <c r="L31" s="1"/>
      <c r="M31" s="183"/>
    </row>
    <row r="32" spans="1:13" x14ac:dyDescent="0.25">
      <c r="A32" s="85">
        <f t="shared" si="0"/>
        <v>27</v>
      </c>
      <c r="B32" s="1" t="s">
        <v>40</v>
      </c>
      <c r="C32" s="4" t="s">
        <v>345</v>
      </c>
      <c r="D32" s="70" t="s">
        <v>5</v>
      </c>
      <c r="E32" s="233">
        <v>3188</v>
      </c>
      <c r="F32" s="233">
        <v>3210</v>
      </c>
      <c r="G32" s="238">
        <v>22</v>
      </c>
      <c r="H32" s="276">
        <v>91050</v>
      </c>
      <c r="I32" s="177">
        <v>20850</v>
      </c>
      <c r="J32" s="178">
        <v>111900</v>
      </c>
      <c r="K32" s="266"/>
      <c r="L32" s="305"/>
      <c r="M32" s="183"/>
    </row>
    <row r="33" spans="1:13" x14ac:dyDescent="0.25">
      <c r="A33" s="85">
        <f t="shared" si="0"/>
        <v>28</v>
      </c>
      <c r="B33" s="1" t="s">
        <v>41</v>
      </c>
      <c r="C33" s="4"/>
      <c r="D33" s="70" t="s">
        <v>5</v>
      </c>
      <c r="E33" s="233">
        <v>2489</v>
      </c>
      <c r="F33" s="233">
        <v>2490</v>
      </c>
      <c r="G33" s="238">
        <v>1</v>
      </c>
      <c r="H33" s="276">
        <v>20000</v>
      </c>
      <c r="I33" s="177">
        <v>3700</v>
      </c>
      <c r="J33" s="178">
        <v>23700</v>
      </c>
      <c r="K33" s="266"/>
      <c r="L33" s="1"/>
      <c r="M33" s="183"/>
    </row>
    <row r="34" spans="1:13" x14ac:dyDescent="0.25">
      <c r="A34" s="85">
        <f t="shared" si="0"/>
        <v>29</v>
      </c>
      <c r="B34" s="1" t="s">
        <v>42</v>
      </c>
      <c r="C34" s="4" t="s">
        <v>346</v>
      </c>
      <c r="D34" s="70" t="s">
        <v>5</v>
      </c>
      <c r="E34" s="233">
        <v>3964</v>
      </c>
      <c r="F34" s="233">
        <v>3981</v>
      </c>
      <c r="G34" s="238">
        <v>17</v>
      </c>
      <c r="H34" s="276">
        <v>0</v>
      </c>
      <c r="I34" s="177">
        <v>15600</v>
      </c>
      <c r="J34" s="178">
        <v>15600</v>
      </c>
      <c r="K34" s="266"/>
      <c r="L34" s="1"/>
      <c r="M34" s="183"/>
    </row>
    <row r="35" spans="1:13" x14ac:dyDescent="0.25">
      <c r="A35" s="85">
        <f t="shared" si="0"/>
        <v>30</v>
      </c>
      <c r="B35" s="1" t="s">
        <v>43</v>
      </c>
      <c r="C35" s="4" t="s">
        <v>347</v>
      </c>
      <c r="D35" s="70" t="s">
        <v>5</v>
      </c>
      <c r="E35" s="233">
        <v>3159</v>
      </c>
      <c r="F35" s="233">
        <v>3194</v>
      </c>
      <c r="G35" s="238">
        <v>35</v>
      </c>
      <c r="H35" s="276">
        <v>0</v>
      </c>
      <c r="I35" s="177">
        <v>36250</v>
      </c>
      <c r="J35" s="178">
        <v>36250</v>
      </c>
      <c r="K35" s="266"/>
      <c r="L35" s="1"/>
      <c r="M35" s="183"/>
    </row>
    <row r="36" spans="1:13" x14ac:dyDescent="0.25">
      <c r="A36" s="85">
        <f t="shared" si="0"/>
        <v>31</v>
      </c>
      <c r="B36" s="1" t="s">
        <v>44</v>
      </c>
      <c r="C36" s="4" t="s">
        <v>348</v>
      </c>
      <c r="D36" s="70" t="s">
        <v>5</v>
      </c>
      <c r="E36" s="233">
        <v>4932</v>
      </c>
      <c r="F36" s="233">
        <v>4960</v>
      </c>
      <c r="G36" s="238">
        <v>28</v>
      </c>
      <c r="H36" s="310">
        <v>82450</v>
      </c>
      <c r="I36" s="177">
        <v>27150</v>
      </c>
      <c r="J36" s="178">
        <v>27150</v>
      </c>
      <c r="K36" s="266"/>
      <c r="L36" s="1"/>
      <c r="M36" s="232"/>
    </row>
    <row r="37" spans="1:13" x14ac:dyDescent="0.25">
      <c r="A37" s="85">
        <f t="shared" si="0"/>
        <v>32</v>
      </c>
      <c r="B37" s="248" t="s">
        <v>45</v>
      </c>
      <c r="C37" s="292" t="s">
        <v>392</v>
      </c>
      <c r="D37" s="250" t="s">
        <v>5</v>
      </c>
      <c r="E37" s="294">
        <v>794</v>
      </c>
      <c r="F37" s="294">
        <v>800</v>
      </c>
      <c r="G37" s="238">
        <v>6</v>
      </c>
      <c r="H37" s="276">
        <v>12800</v>
      </c>
      <c r="I37" s="177">
        <v>7200</v>
      </c>
      <c r="J37" s="178">
        <v>20000</v>
      </c>
      <c r="K37" s="266"/>
      <c r="L37" s="1"/>
      <c r="M37" s="183"/>
    </row>
    <row r="38" spans="1:13" x14ac:dyDescent="0.25">
      <c r="A38" s="85">
        <f t="shared" si="0"/>
        <v>33</v>
      </c>
      <c r="B38" s="248" t="s">
        <v>360</v>
      </c>
      <c r="C38" s="292" t="s">
        <v>393</v>
      </c>
      <c r="D38" s="250" t="s">
        <v>5</v>
      </c>
      <c r="E38" s="294">
        <v>4490</v>
      </c>
      <c r="F38" s="294">
        <v>4504</v>
      </c>
      <c r="G38" s="238">
        <v>14</v>
      </c>
      <c r="H38" s="276">
        <v>20850</v>
      </c>
      <c r="I38" s="177">
        <v>12800</v>
      </c>
      <c r="J38" s="177">
        <v>33650</v>
      </c>
      <c r="K38" s="266"/>
      <c r="L38" s="1"/>
      <c r="M38" s="183"/>
    </row>
    <row r="39" spans="1:13" x14ac:dyDescent="0.25">
      <c r="A39" s="85">
        <f t="shared" si="0"/>
        <v>34</v>
      </c>
      <c r="B39" s="248" t="s">
        <v>46</v>
      </c>
      <c r="C39" s="292" t="s">
        <v>394</v>
      </c>
      <c r="D39" s="250" t="s">
        <v>5</v>
      </c>
      <c r="E39" s="294">
        <v>1162</v>
      </c>
      <c r="F39" s="294">
        <v>1191</v>
      </c>
      <c r="G39" s="238">
        <v>29</v>
      </c>
      <c r="H39" s="276">
        <v>0</v>
      </c>
      <c r="I39" s="177">
        <v>28200</v>
      </c>
      <c r="J39" s="178">
        <v>28200</v>
      </c>
      <c r="K39" s="266"/>
      <c r="L39" s="1"/>
      <c r="M39" s="183"/>
    </row>
    <row r="40" spans="1:13" x14ac:dyDescent="0.25">
      <c r="A40" s="85">
        <f t="shared" si="0"/>
        <v>35</v>
      </c>
      <c r="B40" s="358" t="s">
        <v>47</v>
      </c>
      <c r="C40" s="351" t="s">
        <v>395</v>
      </c>
      <c r="D40" s="352" t="s">
        <v>5</v>
      </c>
      <c r="E40" s="359">
        <v>4578</v>
      </c>
      <c r="F40" s="359">
        <v>4578</v>
      </c>
      <c r="G40" s="354" t="s">
        <v>457</v>
      </c>
      <c r="H40" s="355">
        <v>0</v>
      </c>
      <c r="I40" s="356"/>
      <c r="J40" s="356"/>
      <c r="K40" s="355"/>
      <c r="L40" s="358"/>
      <c r="M40" s="356"/>
    </row>
    <row r="41" spans="1:13" x14ac:dyDescent="0.25">
      <c r="A41" s="159">
        <f t="shared" si="0"/>
        <v>36</v>
      </c>
      <c r="B41" s="160" t="s">
        <v>48</v>
      </c>
      <c r="C41" s="161" t="s">
        <v>396</v>
      </c>
      <c r="D41" s="154" t="s">
        <v>5</v>
      </c>
      <c r="E41" s="246">
        <v>1120</v>
      </c>
      <c r="F41" s="246">
        <v>1143</v>
      </c>
      <c r="G41" s="237">
        <v>23</v>
      </c>
      <c r="H41" s="271">
        <v>23780</v>
      </c>
      <c r="I41" s="164">
        <v>15150</v>
      </c>
      <c r="J41" s="176">
        <v>38930</v>
      </c>
      <c r="K41" s="271"/>
      <c r="L41" s="160"/>
      <c r="M41" s="164"/>
    </row>
    <row r="42" spans="1:13" x14ac:dyDescent="0.25">
      <c r="A42" s="159">
        <f t="shared" si="0"/>
        <v>37</v>
      </c>
      <c r="B42" s="160" t="s">
        <v>398</v>
      </c>
      <c r="C42" s="161" t="s">
        <v>397</v>
      </c>
      <c r="D42" s="154" t="s">
        <v>5</v>
      </c>
      <c r="E42" s="246">
        <v>2942</v>
      </c>
      <c r="F42" s="246">
        <v>2952</v>
      </c>
      <c r="G42" s="237">
        <v>10</v>
      </c>
      <c r="H42" s="271">
        <v>0</v>
      </c>
      <c r="I42" s="164">
        <v>5000</v>
      </c>
      <c r="J42" s="176">
        <v>5000</v>
      </c>
      <c r="K42" s="271"/>
      <c r="L42" s="160"/>
      <c r="M42" s="164"/>
    </row>
    <row r="43" spans="1:13" s="349" customFormat="1" x14ac:dyDescent="0.25">
      <c r="A43" s="348">
        <f t="shared" si="0"/>
        <v>38</v>
      </c>
      <c r="B43" s="360" t="s">
        <v>50</v>
      </c>
      <c r="C43" s="361" t="s">
        <v>400</v>
      </c>
      <c r="D43" s="362" t="s">
        <v>5</v>
      </c>
      <c r="E43" s="359">
        <v>2379</v>
      </c>
      <c r="F43" s="359">
        <v>2979</v>
      </c>
      <c r="G43" s="363">
        <v>600</v>
      </c>
      <c r="H43" s="364">
        <v>17800</v>
      </c>
      <c r="I43" s="365"/>
      <c r="J43" s="366"/>
      <c r="K43" s="367"/>
      <c r="L43" s="368"/>
      <c r="M43" s="365"/>
    </row>
    <row r="44" spans="1:13" x14ac:dyDescent="0.25">
      <c r="A44" s="85">
        <f t="shared" si="0"/>
        <v>39</v>
      </c>
      <c r="B44" s="1" t="s">
        <v>51</v>
      </c>
      <c r="C44" s="4" t="s">
        <v>401</v>
      </c>
      <c r="D44" s="70" t="s">
        <v>5</v>
      </c>
      <c r="E44" s="233">
        <v>4418</v>
      </c>
      <c r="F44" s="233"/>
      <c r="G44" s="238"/>
      <c r="H44" s="276">
        <v>114650</v>
      </c>
      <c r="I44" s="177"/>
      <c r="J44" s="178"/>
      <c r="K44" s="266"/>
      <c r="L44" s="1"/>
      <c r="M44" s="183"/>
    </row>
    <row r="45" spans="1:13" x14ac:dyDescent="0.25">
      <c r="A45" s="159">
        <f t="shared" si="0"/>
        <v>40</v>
      </c>
      <c r="B45" s="360" t="s">
        <v>365</v>
      </c>
      <c r="C45" s="361" t="s">
        <v>402</v>
      </c>
      <c r="D45" s="362" t="s">
        <v>5</v>
      </c>
      <c r="E45" s="359">
        <v>4201</v>
      </c>
      <c r="F45" s="359">
        <v>2210</v>
      </c>
      <c r="G45" s="354" t="s">
        <v>457</v>
      </c>
      <c r="H45" s="355">
        <v>0</v>
      </c>
      <c r="I45" s="356"/>
      <c r="J45" s="356"/>
      <c r="K45" s="355"/>
      <c r="L45" s="358"/>
      <c r="M45" s="356"/>
    </row>
    <row r="46" spans="1:13" x14ac:dyDescent="0.25">
      <c r="A46" s="85">
        <f t="shared" si="0"/>
        <v>41</v>
      </c>
      <c r="B46" s="1" t="s">
        <v>444</v>
      </c>
      <c r="C46" s="4" t="s">
        <v>403</v>
      </c>
      <c r="D46" s="70" t="s">
        <v>5</v>
      </c>
      <c r="E46" s="233">
        <v>2373</v>
      </c>
      <c r="F46" s="233">
        <v>2407</v>
      </c>
      <c r="G46" s="238">
        <v>34</v>
      </c>
      <c r="H46" s="276">
        <v>0</v>
      </c>
      <c r="I46" s="177">
        <v>34850</v>
      </c>
      <c r="J46" s="178">
        <v>34850</v>
      </c>
      <c r="K46" s="266"/>
      <c r="L46" s="1"/>
      <c r="M46" s="183"/>
    </row>
    <row r="47" spans="1:13" x14ac:dyDescent="0.25">
      <c r="A47" s="159">
        <f t="shared" si="0"/>
        <v>42</v>
      </c>
      <c r="B47" s="160" t="s">
        <v>54</v>
      </c>
      <c r="C47" s="161" t="s">
        <v>404</v>
      </c>
      <c r="D47" s="154" t="s">
        <v>5</v>
      </c>
      <c r="E47" s="246">
        <v>1702</v>
      </c>
      <c r="F47" s="246">
        <v>1714</v>
      </c>
      <c r="G47" s="237">
        <v>12</v>
      </c>
      <c r="H47" s="271">
        <v>7590</v>
      </c>
      <c r="I47" s="164">
        <v>5700</v>
      </c>
      <c r="J47" s="176">
        <v>13290</v>
      </c>
      <c r="K47" s="271"/>
      <c r="L47" s="160"/>
      <c r="M47" s="192"/>
    </row>
    <row r="48" spans="1:13" x14ac:dyDescent="0.25">
      <c r="A48" s="85">
        <f t="shared" si="0"/>
        <v>43</v>
      </c>
      <c r="B48" s="248" t="s">
        <v>55</v>
      </c>
      <c r="C48" s="292" t="s">
        <v>405</v>
      </c>
      <c r="D48" s="250" t="s">
        <v>5</v>
      </c>
      <c r="E48" s="294">
        <v>1175</v>
      </c>
      <c r="F48" s="294">
        <v>1185</v>
      </c>
      <c r="G48" s="238">
        <v>10</v>
      </c>
      <c r="H48" s="276">
        <v>0</v>
      </c>
      <c r="I48" s="177">
        <v>10000</v>
      </c>
      <c r="J48" s="178">
        <v>10000</v>
      </c>
      <c r="K48" s="266"/>
      <c r="L48" s="1"/>
      <c r="M48" s="183"/>
    </row>
    <row r="49" spans="1:13" x14ac:dyDescent="0.25">
      <c r="A49" s="85">
        <f t="shared" si="0"/>
        <v>44</v>
      </c>
      <c r="B49" s="1" t="s">
        <v>56</v>
      </c>
      <c r="C49" s="5" t="s">
        <v>406</v>
      </c>
      <c r="D49" s="70" t="s">
        <v>5</v>
      </c>
      <c r="E49" s="233">
        <v>437</v>
      </c>
      <c r="F49" s="233">
        <v>446</v>
      </c>
      <c r="G49" s="238">
        <v>9</v>
      </c>
      <c r="H49" s="312">
        <v>10700</v>
      </c>
      <c r="I49" s="177">
        <v>9300</v>
      </c>
      <c r="J49" s="178">
        <v>20000</v>
      </c>
      <c r="K49" s="266"/>
      <c r="L49" s="1"/>
      <c r="M49" s="110"/>
    </row>
    <row r="50" spans="1:13" x14ac:dyDescent="0.25">
      <c r="A50" s="159">
        <f t="shared" si="0"/>
        <v>45</v>
      </c>
      <c r="B50" s="160" t="s">
        <v>57</v>
      </c>
      <c r="C50" s="161" t="s">
        <v>407</v>
      </c>
      <c r="D50" s="154" t="s">
        <v>5</v>
      </c>
      <c r="E50" s="246">
        <v>3837</v>
      </c>
      <c r="F50" s="246">
        <v>3848</v>
      </c>
      <c r="G50" s="237">
        <v>11</v>
      </c>
      <c r="H50" s="271">
        <v>8850</v>
      </c>
      <c r="I50" s="164">
        <v>5350</v>
      </c>
      <c r="J50" s="176">
        <v>14200</v>
      </c>
      <c r="K50" s="271"/>
      <c r="L50" s="160"/>
      <c r="M50" s="164"/>
    </row>
    <row r="51" spans="1:13" x14ac:dyDescent="0.25">
      <c r="A51" s="85">
        <f t="shared" si="0"/>
        <v>46</v>
      </c>
      <c r="B51" s="1" t="s">
        <v>350</v>
      </c>
      <c r="C51" s="4"/>
      <c r="D51" s="70" t="s">
        <v>5</v>
      </c>
      <c r="E51" s="233">
        <v>1060</v>
      </c>
      <c r="F51" s="233">
        <v>1060</v>
      </c>
      <c r="G51" s="238">
        <v>0</v>
      </c>
      <c r="H51" s="276">
        <v>5100</v>
      </c>
      <c r="I51" s="177">
        <v>3000</v>
      </c>
      <c r="J51" s="178">
        <v>8100</v>
      </c>
      <c r="K51" s="266"/>
      <c r="L51" s="1"/>
      <c r="M51" s="183"/>
    </row>
    <row r="52" spans="1:13" x14ac:dyDescent="0.25">
      <c r="A52" s="85">
        <f t="shared" si="0"/>
        <v>47</v>
      </c>
      <c r="B52" s="248" t="s">
        <v>59</v>
      </c>
      <c r="C52" s="292" t="s">
        <v>408</v>
      </c>
      <c r="D52" s="250" t="s">
        <v>5</v>
      </c>
      <c r="E52" s="233">
        <v>547</v>
      </c>
      <c r="F52" s="233">
        <v>555</v>
      </c>
      <c r="G52" s="238">
        <v>8</v>
      </c>
      <c r="H52" s="276">
        <v>0</v>
      </c>
      <c r="I52" s="177">
        <v>8600</v>
      </c>
      <c r="J52" s="177">
        <v>8600</v>
      </c>
      <c r="K52" s="266"/>
      <c r="L52" s="1"/>
      <c r="M52" s="183"/>
    </row>
    <row r="53" spans="1:13" x14ac:dyDescent="0.25">
      <c r="A53" s="85">
        <f t="shared" si="0"/>
        <v>48</v>
      </c>
      <c r="B53" s="248" t="s">
        <v>60</v>
      </c>
      <c r="C53" s="292" t="s">
        <v>409</v>
      </c>
      <c r="D53" s="250" t="s">
        <v>5</v>
      </c>
      <c r="E53" s="233">
        <v>3545</v>
      </c>
      <c r="F53" s="233">
        <v>3588</v>
      </c>
      <c r="G53" s="238">
        <v>43</v>
      </c>
      <c r="H53" s="276">
        <v>0</v>
      </c>
      <c r="I53" s="177">
        <v>47450</v>
      </c>
      <c r="J53" s="178">
        <v>47450</v>
      </c>
      <c r="K53" s="266"/>
      <c r="L53" s="1"/>
      <c r="M53" s="183"/>
    </row>
    <row r="54" spans="1:13" x14ac:dyDescent="0.25">
      <c r="A54" s="85">
        <f>A53+1</f>
        <v>49</v>
      </c>
      <c r="B54" s="1" t="s">
        <v>351</v>
      </c>
      <c r="C54" s="4" t="s">
        <v>410</v>
      </c>
      <c r="D54" s="70" t="s">
        <v>5</v>
      </c>
      <c r="E54" s="233">
        <v>2375</v>
      </c>
      <c r="F54" s="233">
        <v>2375</v>
      </c>
      <c r="G54" s="238">
        <v>0</v>
      </c>
      <c r="H54" s="276">
        <v>3000</v>
      </c>
      <c r="I54" s="177">
        <v>3000</v>
      </c>
      <c r="J54" s="178">
        <v>6000</v>
      </c>
      <c r="K54" s="266"/>
      <c r="L54" s="1"/>
      <c r="M54" s="183"/>
    </row>
    <row r="55" spans="1:13" x14ac:dyDescent="0.25">
      <c r="A55" s="85">
        <f t="shared" ref="A55:A73" si="1">A54+1</f>
        <v>50</v>
      </c>
      <c r="B55" s="1" t="s">
        <v>61</v>
      </c>
      <c r="C55" s="4" t="s">
        <v>411</v>
      </c>
      <c r="D55" s="70" t="s">
        <v>5</v>
      </c>
      <c r="E55" s="233">
        <v>729</v>
      </c>
      <c r="F55" s="233">
        <v>734</v>
      </c>
      <c r="G55" s="238">
        <v>5</v>
      </c>
      <c r="H55" s="276">
        <v>0</v>
      </c>
      <c r="I55" s="177">
        <v>6500</v>
      </c>
      <c r="J55" s="178">
        <v>6500</v>
      </c>
      <c r="K55" s="266"/>
      <c r="L55" s="1"/>
      <c r="M55" s="192"/>
    </row>
    <row r="56" spans="1:13" x14ac:dyDescent="0.25">
      <c r="A56" s="85">
        <f t="shared" si="1"/>
        <v>51</v>
      </c>
      <c r="B56" s="358" t="s">
        <v>62</v>
      </c>
      <c r="C56" s="351" t="s">
        <v>412</v>
      </c>
      <c r="D56" s="352" t="s">
        <v>5</v>
      </c>
      <c r="E56" s="353">
        <v>1795</v>
      </c>
      <c r="F56" s="353">
        <v>1778</v>
      </c>
      <c r="G56" s="354" t="s">
        <v>457</v>
      </c>
      <c r="H56" s="355">
        <v>3800</v>
      </c>
      <c r="I56" s="356"/>
      <c r="J56" s="357"/>
      <c r="K56" s="355"/>
      <c r="L56" s="358"/>
      <c r="M56" s="356"/>
    </row>
    <row r="57" spans="1:13" x14ac:dyDescent="0.25">
      <c r="A57" s="85">
        <f t="shared" si="1"/>
        <v>52</v>
      </c>
      <c r="B57" s="1" t="s">
        <v>63</v>
      </c>
      <c r="C57" s="162" t="s">
        <v>413</v>
      </c>
      <c r="D57" s="70" t="s">
        <v>5</v>
      </c>
      <c r="E57" s="233">
        <v>1531</v>
      </c>
      <c r="F57" s="233">
        <v>1543</v>
      </c>
      <c r="G57" s="238">
        <v>12</v>
      </c>
      <c r="H57" s="276">
        <v>88970</v>
      </c>
      <c r="I57" s="177">
        <v>11400</v>
      </c>
      <c r="J57" s="178">
        <v>88970</v>
      </c>
      <c r="K57" s="266"/>
      <c r="L57" s="1"/>
      <c r="M57" s="183"/>
    </row>
    <row r="58" spans="1:13" x14ac:dyDescent="0.25">
      <c r="A58" s="85">
        <f t="shared" si="1"/>
        <v>53</v>
      </c>
      <c r="B58" s="1" t="s">
        <v>64</v>
      </c>
      <c r="C58" s="4" t="s">
        <v>414</v>
      </c>
      <c r="D58" s="70" t="s">
        <v>5</v>
      </c>
      <c r="E58" s="233">
        <v>737</v>
      </c>
      <c r="F58" s="233">
        <v>741</v>
      </c>
      <c r="G58" s="238">
        <v>4</v>
      </c>
      <c r="H58" s="276">
        <v>0</v>
      </c>
      <c r="I58" s="177">
        <v>5800</v>
      </c>
      <c r="J58" s="178">
        <v>5800</v>
      </c>
      <c r="K58" s="266"/>
      <c r="L58" s="1"/>
      <c r="M58" s="183"/>
    </row>
    <row r="59" spans="1:13" x14ac:dyDescent="0.25">
      <c r="A59" s="85">
        <f t="shared" si="1"/>
        <v>54</v>
      </c>
      <c r="B59" s="1" t="s">
        <v>65</v>
      </c>
      <c r="C59" s="4" t="s">
        <v>415</v>
      </c>
      <c r="D59" s="70" t="s">
        <v>5</v>
      </c>
      <c r="E59" s="233">
        <v>1403</v>
      </c>
      <c r="F59" s="233">
        <v>1416</v>
      </c>
      <c r="G59" s="238">
        <v>13</v>
      </c>
      <c r="H59" s="276">
        <v>0</v>
      </c>
      <c r="I59" s="177">
        <v>12100</v>
      </c>
      <c r="J59" s="178">
        <v>12100</v>
      </c>
      <c r="K59" s="266"/>
      <c r="L59" s="1"/>
      <c r="M59" s="183"/>
    </row>
    <row r="60" spans="1:13" x14ac:dyDescent="0.25">
      <c r="A60" s="85">
        <f t="shared" si="1"/>
        <v>55</v>
      </c>
      <c r="B60" s="1" t="s">
        <v>66</v>
      </c>
      <c r="C60" s="4" t="s">
        <v>416</v>
      </c>
      <c r="D60" s="70" t="s">
        <v>5</v>
      </c>
      <c r="E60" s="233">
        <v>6304</v>
      </c>
      <c r="F60" s="233">
        <v>6307</v>
      </c>
      <c r="G60" s="238">
        <v>3</v>
      </c>
      <c r="H60" s="276">
        <v>0</v>
      </c>
      <c r="I60" s="177">
        <v>5100</v>
      </c>
      <c r="J60" s="178">
        <v>5100</v>
      </c>
      <c r="K60" s="266"/>
      <c r="L60" s="1"/>
      <c r="M60" s="183"/>
    </row>
    <row r="61" spans="1:13" x14ac:dyDescent="0.25">
      <c r="A61" s="85">
        <f t="shared" si="1"/>
        <v>56</v>
      </c>
      <c r="B61" s="179" t="s">
        <v>67</v>
      </c>
      <c r="C61" s="210" t="s">
        <v>417</v>
      </c>
      <c r="D61" s="181" t="s">
        <v>5</v>
      </c>
      <c r="E61" s="294">
        <v>988</v>
      </c>
      <c r="F61" s="294">
        <v>1009</v>
      </c>
      <c r="G61" s="238">
        <v>21</v>
      </c>
      <c r="H61" s="276">
        <v>0</v>
      </c>
      <c r="I61" s="177">
        <v>19800</v>
      </c>
      <c r="J61" s="178">
        <v>19800</v>
      </c>
      <c r="K61" s="266"/>
      <c r="L61" s="1"/>
      <c r="M61" s="183"/>
    </row>
    <row r="62" spans="1:13" x14ac:dyDescent="0.25">
      <c r="A62" s="85">
        <f t="shared" si="1"/>
        <v>57</v>
      </c>
      <c r="B62" s="1" t="s">
        <v>368</v>
      </c>
      <c r="C62" s="4" t="s">
        <v>418</v>
      </c>
      <c r="D62" s="70" t="s">
        <v>5</v>
      </c>
      <c r="E62" s="233">
        <v>780</v>
      </c>
      <c r="F62" s="233">
        <v>783</v>
      </c>
      <c r="G62" s="238">
        <v>3</v>
      </c>
      <c r="H62" s="276">
        <v>0</v>
      </c>
      <c r="I62" s="177">
        <v>5100</v>
      </c>
      <c r="J62" s="178">
        <v>5100</v>
      </c>
      <c r="K62" s="266"/>
      <c r="L62" s="1"/>
      <c r="M62" s="183"/>
    </row>
    <row r="63" spans="1:13" x14ac:dyDescent="0.25">
      <c r="A63" s="85">
        <f t="shared" si="1"/>
        <v>58</v>
      </c>
      <c r="B63" s="1" t="s">
        <v>69</v>
      </c>
      <c r="C63" s="4" t="s">
        <v>90</v>
      </c>
      <c r="D63" s="70" t="s">
        <v>5</v>
      </c>
      <c r="E63" s="233">
        <v>1462</v>
      </c>
      <c r="F63" s="233">
        <v>1473</v>
      </c>
      <c r="G63" s="238">
        <v>11</v>
      </c>
      <c r="H63" s="276">
        <v>0</v>
      </c>
      <c r="I63" s="177">
        <v>10700</v>
      </c>
      <c r="J63" s="178">
        <v>10700</v>
      </c>
      <c r="K63" s="254">
        <v>10700</v>
      </c>
      <c r="L63" s="1" t="s">
        <v>434</v>
      </c>
      <c r="M63" s="183">
        <v>0</v>
      </c>
    </row>
    <row r="64" spans="1:13" x14ac:dyDescent="0.25">
      <c r="A64" s="85">
        <f t="shared" si="1"/>
        <v>59</v>
      </c>
      <c r="B64" s="179" t="s">
        <v>70</v>
      </c>
      <c r="C64" s="211" t="s">
        <v>419</v>
      </c>
      <c r="D64" s="181" t="s">
        <v>5</v>
      </c>
      <c r="E64" s="233">
        <v>230</v>
      </c>
      <c r="F64" s="233">
        <v>250</v>
      </c>
      <c r="G64" s="238">
        <v>20</v>
      </c>
      <c r="H64" s="276">
        <v>0</v>
      </c>
      <c r="I64" s="177">
        <v>18750</v>
      </c>
      <c r="J64" s="178">
        <v>18750</v>
      </c>
      <c r="K64" s="266"/>
      <c r="L64" s="1"/>
      <c r="M64" s="183"/>
    </row>
    <row r="65" spans="1:13" x14ac:dyDescent="0.25">
      <c r="A65" s="85">
        <f t="shared" si="1"/>
        <v>60</v>
      </c>
      <c r="B65" s="179" t="s">
        <v>431</v>
      </c>
      <c r="C65" s="210" t="s">
        <v>89</v>
      </c>
      <c r="D65" s="181" t="s">
        <v>5</v>
      </c>
      <c r="E65" s="265">
        <v>3246</v>
      </c>
      <c r="F65" s="265">
        <v>3262</v>
      </c>
      <c r="G65" s="238">
        <v>16</v>
      </c>
      <c r="H65" s="276">
        <v>6000</v>
      </c>
      <c r="I65" s="177">
        <v>14550</v>
      </c>
      <c r="J65" s="178">
        <v>20550</v>
      </c>
      <c r="K65" s="266"/>
      <c r="L65" s="1"/>
      <c r="M65" s="183"/>
    </row>
    <row r="66" spans="1:13" x14ac:dyDescent="0.25">
      <c r="A66" s="85">
        <f t="shared" si="1"/>
        <v>61</v>
      </c>
      <c r="B66" s="1" t="s">
        <v>72</v>
      </c>
      <c r="C66" s="4" t="s">
        <v>88</v>
      </c>
      <c r="D66" s="70" t="s">
        <v>5</v>
      </c>
      <c r="E66" s="233">
        <v>9380</v>
      </c>
      <c r="F66" s="233">
        <v>9782</v>
      </c>
      <c r="G66" s="238">
        <v>402</v>
      </c>
      <c r="H66" s="276">
        <v>0</v>
      </c>
      <c r="I66" s="177">
        <v>380400</v>
      </c>
      <c r="J66" s="178">
        <v>380400</v>
      </c>
      <c r="K66" s="266"/>
      <c r="L66" s="1"/>
      <c r="M66" s="183"/>
    </row>
    <row r="67" spans="1:13" x14ac:dyDescent="0.25">
      <c r="A67" s="85">
        <f t="shared" si="1"/>
        <v>62</v>
      </c>
      <c r="B67" s="1" t="s">
        <v>73</v>
      </c>
      <c r="C67" s="4" t="s">
        <v>87</v>
      </c>
      <c r="D67" s="70" t="s">
        <v>5</v>
      </c>
      <c r="E67" s="233">
        <v>167</v>
      </c>
      <c r="F67" s="233">
        <v>170</v>
      </c>
      <c r="G67" s="238">
        <v>3</v>
      </c>
      <c r="H67" s="276">
        <v>23850</v>
      </c>
      <c r="I67" s="177">
        <v>5100</v>
      </c>
      <c r="J67" s="178">
        <v>5100</v>
      </c>
      <c r="K67" s="266"/>
      <c r="L67" s="1"/>
      <c r="M67" s="183"/>
    </row>
    <row r="68" spans="1:13" x14ac:dyDescent="0.25">
      <c r="A68" s="85">
        <f t="shared" si="1"/>
        <v>63</v>
      </c>
      <c r="B68" s="1" t="s">
        <v>74</v>
      </c>
      <c r="C68" s="4" t="s">
        <v>86</v>
      </c>
      <c r="D68" s="70" t="s">
        <v>5</v>
      </c>
      <c r="E68" s="233">
        <v>22</v>
      </c>
      <c r="F68" s="233">
        <v>22</v>
      </c>
      <c r="G68" s="238">
        <v>0</v>
      </c>
      <c r="H68" s="276">
        <v>9100</v>
      </c>
      <c r="I68" s="177">
        <v>3000</v>
      </c>
      <c r="J68" s="178">
        <v>12100</v>
      </c>
      <c r="K68" s="266"/>
      <c r="L68" s="1"/>
      <c r="M68" s="183"/>
    </row>
    <row r="69" spans="1:13" x14ac:dyDescent="0.25">
      <c r="A69" s="85">
        <f t="shared" si="1"/>
        <v>64</v>
      </c>
      <c r="B69" s="1" t="s">
        <v>369</v>
      </c>
      <c r="C69" s="4" t="s">
        <v>85</v>
      </c>
      <c r="D69" s="70" t="s">
        <v>5</v>
      </c>
      <c r="E69" s="233">
        <v>92</v>
      </c>
      <c r="F69" s="233">
        <v>96</v>
      </c>
      <c r="G69" s="238">
        <v>4</v>
      </c>
      <c r="H69" s="276">
        <v>12800</v>
      </c>
      <c r="I69" s="177">
        <v>5800</v>
      </c>
      <c r="J69" s="178">
        <v>18600</v>
      </c>
      <c r="K69" s="266"/>
      <c r="L69" s="1"/>
      <c r="M69" s="183"/>
    </row>
    <row r="70" spans="1:13" x14ac:dyDescent="0.25">
      <c r="A70" s="85">
        <f t="shared" si="1"/>
        <v>65</v>
      </c>
      <c r="B70" s="1" t="s">
        <v>75</v>
      </c>
      <c r="C70" s="4" t="s">
        <v>83</v>
      </c>
      <c r="D70" s="70" t="s">
        <v>5</v>
      </c>
      <c r="E70" s="233">
        <v>2985</v>
      </c>
      <c r="F70" s="233">
        <v>3027</v>
      </c>
      <c r="G70" s="238">
        <v>42</v>
      </c>
      <c r="H70" s="276">
        <v>69800</v>
      </c>
      <c r="I70" s="177">
        <v>46050</v>
      </c>
      <c r="J70" s="178">
        <v>115850</v>
      </c>
      <c r="K70" s="266"/>
      <c r="L70" s="1"/>
      <c r="M70" s="183"/>
    </row>
    <row r="71" spans="1:13" x14ac:dyDescent="0.25">
      <c r="A71" s="85">
        <f t="shared" si="1"/>
        <v>66</v>
      </c>
      <c r="B71" s="1" t="s">
        <v>76</v>
      </c>
      <c r="C71" s="4" t="s">
        <v>82</v>
      </c>
      <c r="D71" s="70" t="s">
        <v>5</v>
      </c>
      <c r="E71" s="233">
        <v>1292</v>
      </c>
      <c r="F71" s="233">
        <v>1304</v>
      </c>
      <c r="G71" s="238">
        <v>12</v>
      </c>
      <c r="H71" s="276">
        <v>15750</v>
      </c>
      <c r="I71" s="177">
        <v>11400</v>
      </c>
      <c r="J71" s="178">
        <v>27150</v>
      </c>
      <c r="K71" s="266"/>
      <c r="L71" s="1"/>
      <c r="M71" s="183"/>
    </row>
    <row r="72" spans="1:13" x14ac:dyDescent="0.25">
      <c r="A72" s="85">
        <f t="shared" si="1"/>
        <v>67</v>
      </c>
      <c r="B72" s="179" t="s">
        <v>77</v>
      </c>
      <c r="C72" s="210" t="s">
        <v>6</v>
      </c>
      <c r="D72" s="181" t="s">
        <v>5</v>
      </c>
      <c r="E72" s="233">
        <v>1739</v>
      </c>
      <c r="F72" s="233">
        <v>1739</v>
      </c>
      <c r="G72" s="238">
        <v>12</v>
      </c>
      <c r="H72" s="276">
        <v>12000</v>
      </c>
      <c r="I72" s="177">
        <v>11400</v>
      </c>
      <c r="J72" s="178">
        <v>23400</v>
      </c>
      <c r="K72" s="266"/>
      <c r="L72" s="1"/>
      <c r="M72" s="183"/>
    </row>
    <row r="73" spans="1:13" x14ac:dyDescent="0.25">
      <c r="A73" s="85">
        <f t="shared" si="1"/>
        <v>68</v>
      </c>
      <c r="B73" s="1" t="s">
        <v>78</v>
      </c>
      <c r="C73" s="4" t="s">
        <v>79</v>
      </c>
      <c r="D73" s="70" t="s">
        <v>5</v>
      </c>
      <c r="E73" s="233">
        <v>1423</v>
      </c>
      <c r="F73" s="233">
        <v>1440</v>
      </c>
      <c r="G73" s="238">
        <v>17</v>
      </c>
      <c r="H73" s="276">
        <v>0</v>
      </c>
      <c r="I73" s="177">
        <v>17700</v>
      </c>
      <c r="J73" s="178">
        <v>17700</v>
      </c>
      <c r="K73" s="266"/>
      <c r="L73" s="1"/>
      <c r="M73" s="183"/>
    </row>
    <row r="74" spans="1:13" x14ac:dyDescent="0.25">
      <c r="A74" s="85">
        <v>69</v>
      </c>
      <c r="B74" s="1" t="s">
        <v>80</v>
      </c>
      <c r="C74" s="4" t="s">
        <v>81</v>
      </c>
      <c r="D74" s="70" t="s">
        <v>5</v>
      </c>
      <c r="E74" s="233">
        <v>63</v>
      </c>
      <c r="F74" s="233">
        <v>63</v>
      </c>
      <c r="G74" s="238">
        <v>0</v>
      </c>
      <c r="H74" s="276">
        <v>3000</v>
      </c>
      <c r="I74" s="177">
        <v>3000</v>
      </c>
      <c r="J74" s="177">
        <v>6000</v>
      </c>
      <c r="K74" s="266"/>
      <c r="L74" s="1"/>
      <c r="M74" s="183"/>
    </row>
    <row r="75" spans="1:13" x14ac:dyDescent="0.25">
      <c r="A75" s="85">
        <v>70</v>
      </c>
      <c r="B75" s="9" t="s">
        <v>445</v>
      </c>
      <c r="C75" s="230" t="s">
        <v>447</v>
      </c>
      <c r="D75" s="70" t="s">
        <v>5</v>
      </c>
      <c r="E75" s="233">
        <v>0</v>
      </c>
      <c r="F75" s="233">
        <v>0</v>
      </c>
      <c r="G75" s="233">
        <v>0</v>
      </c>
      <c r="H75" s="276">
        <v>25000</v>
      </c>
      <c r="I75" s="266">
        <v>3000</v>
      </c>
      <c r="J75" s="266">
        <v>28000</v>
      </c>
      <c r="K75" s="266"/>
      <c r="L75" s="1"/>
      <c r="M75" s="183"/>
    </row>
    <row r="76" spans="1:13" x14ac:dyDescent="0.25">
      <c r="A76" s="85">
        <v>71</v>
      </c>
      <c r="B76" s="9" t="s">
        <v>446</v>
      </c>
      <c r="C76" s="4" t="s">
        <v>448</v>
      </c>
      <c r="D76" s="70" t="s">
        <v>5</v>
      </c>
      <c r="E76" s="233">
        <v>39</v>
      </c>
      <c r="F76" s="233">
        <v>52</v>
      </c>
      <c r="G76" s="233">
        <v>13</v>
      </c>
      <c r="H76" s="276">
        <v>0</v>
      </c>
      <c r="I76" s="266">
        <v>12100</v>
      </c>
      <c r="J76" s="266">
        <v>12100</v>
      </c>
      <c r="K76" s="266"/>
      <c r="L76" s="1"/>
      <c r="M76" s="166"/>
    </row>
    <row r="77" spans="1:13" x14ac:dyDescent="0.25">
      <c r="A77" s="118">
        <v>72</v>
      </c>
      <c r="B77" s="9" t="s">
        <v>453</v>
      </c>
      <c r="C77" s="335" t="s">
        <v>452</v>
      </c>
      <c r="D77" s="70" t="s">
        <v>5</v>
      </c>
      <c r="E77" s="258"/>
      <c r="F77" s="258"/>
      <c r="G77" s="258"/>
      <c r="H77" s="276">
        <v>13335</v>
      </c>
      <c r="I77" s="296"/>
      <c r="J77" s="165"/>
      <c r="K77" s="266"/>
      <c r="L77" s="1"/>
      <c r="M77" s="166"/>
    </row>
    <row r="78" spans="1:13" ht="15.75" thickBot="1" x14ac:dyDescent="0.3">
      <c r="A78" s="150"/>
      <c r="B78" s="143"/>
      <c r="C78" s="260"/>
      <c r="D78" s="260"/>
      <c r="E78" s="261"/>
      <c r="F78" s="262"/>
      <c r="G78" s="262"/>
      <c r="H78" s="261"/>
      <c r="I78" s="263"/>
      <c r="K78" s="269"/>
    </row>
    <row r="79" spans="1:13" x14ac:dyDescent="0.25">
      <c r="A79" s="378" t="s">
        <v>8</v>
      </c>
      <c r="B79" s="378"/>
      <c r="C79" s="378"/>
      <c r="D79" s="132"/>
      <c r="E79" s="151"/>
      <c r="F79" s="236"/>
      <c r="G79" s="236"/>
      <c r="H79" s="131"/>
      <c r="I79" s="131"/>
      <c r="J79" s="133"/>
      <c r="K79" s="269"/>
    </row>
    <row r="80" spans="1:13" x14ac:dyDescent="0.25">
      <c r="A80" s="91" t="s">
        <v>3</v>
      </c>
      <c r="B80" s="128" t="s">
        <v>0</v>
      </c>
      <c r="C80" s="128" t="s">
        <v>1</v>
      </c>
      <c r="D80" s="129" t="s">
        <v>2</v>
      </c>
      <c r="E80" s="129" t="s">
        <v>439</v>
      </c>
      <c r="F80" s="235" t="s">
        <v>337</v>
      </c>
      <c r="G80" s="235" t="s">
        <v>10</v>
      </c>
      <c r="H80" s="129" t="s">
        <v>356</v>
      </c>
      <c r="I80" s="129" t="s">
        <v>357</v>
      </c>
      <c r="J80" s="128" t="s">
        <v>11</v>
      </c>
      <c r="K80" s="270" t="s">
        <v>12</v>
      </c>
      <c r="L80" s="129" t="s">
        <v>355</v>
      </c>
      <c r="M80" s="130" t="s">
        <v>13</v>
      </c>
    </row>
    <row r="81" spans="1:13" x14ac:dyDescent="0.25">
      <c r="A81" s="219">
        <v>1</v>
      </c>
      <c r="B81" s="206" t="s">
        <v>102</v>
      </c>
      <c r="C81" s="220" t="s">
        <v>103</v>
      </c>
      <c r="D81" s="208" t="s">
        <v>334</v>
      </c>
      <c r="E81" s="240">
        <v>96</v>
      </c>
      <c r="F81" s="240">
        <v>117</v>
      </c>
      <c r="G81" s="240">
        <v>21</v>
      </c>
      <c r="H81" s="272"/>
      <c r="I81" s="223">
        <v>13050</v>
      </c>
      <c r="J81" s="223">
        <v>13050</v>
      </c>
      <c r="K81" s="272"/>
      <c r="L81" s="206"/>
      <c r="M81" s="222"/>
    </row>
    <row r="82" spans="1:13" x14ac:dyDescent="0.25">
      <c r="A82" s="85">
        <f t="shared" ref="A82:A91" si="2">A81+1</f>
        <v>2</v>
      </c>
      <c r="B82" s="185" t="s">
        <v>370</v>
      </c>
      <c r="C82" s="58"/>
      <c r="D82" s="70" t="s">
        <v>334</v>
      </c>
      <c r="E82" s="234">
        <v>2793</v>
      </c>
      <c r="F82" s="234">
        <v>2817</v>
      </c>
      <c r="G82" s="234">
        <v>24</v>
      </c>
      <c r="H82" s="276">
        <v>29250</v>
      </c>
      <c r="I82" s="178">
        <v>22950</v>
      </c>
      <c r="J82" s="178">
        <v>52200</v>
      </c>
      <c r="K82" s="266"/>
      <c r="L82" s="1"/>
      <c r="M82" s="183"/>
    </row>
    <row r="83" spans="1:13" x14ac:dyDescent="0.25">
      <c r="A83" s="85">
        <f t="shared" si="2"/>
        <v>3</v>
      </c>
      <c r="B83" s="185" t="s">
        <v>459</v>
      </c>
      <c r="C83" s="58" t="s">
        <v>106</v>
      </c>
      <c r="D83" s="70" t="s">
        <v>335</v>
      </c>
      <c r="E83" s="234">
        <v>570</v>
      </c>
      <c r="F83" s="234">
        <v>587</v>
      </c>
      <c r="G83" s="234">
        <v>17</v>
      </c>
      <c r="H83" s="276"/>
      <c r="I83" s="178">
        <v>15600</v>
      </c>
      <c r="J83" s="178">
        <v>15600</v>
      </c>
      <c r="K83" s="266"/>
      <c r="L83" s="1"/>
      <c r="M83" s="183"/>
    </row>
    <row r="84" spans="1:13" x14ac:dyDescent="0.25">
      <c r="A84" s="85">
        <f t="shared" si="2"/>
        <v>4</v>
      </c>
      <c r="B84" s="185" t="s">
        <v>107</v>
      </c>
      <c r="C84" s="58"/>
      <c r="D84" s="70" t="s">
        <v>335</v>
      </c>
      <c r="E84" s="234">
        <v>2666</v>
      </c>
      <c r="F84" s="234">
        <v>2667</v>
      </c>
      <c r="G84" s="234">
        <v>1</v>
      </c>
      <c r="H84" s="313"/>
      <c r="I84" s="178">
        <v>3700</v>
      </c>
      <c r="J84" s="178">
        <v>3700</v>
      </c>
      <c r="K84" s="266"/>
      <c r="L84" s="1"/>
      <c r="M84" s="183"/>
    </row>
    <row r="85" spans="1:13" x14ac:dyDescent="0.25">
      <c r="A85" s="85">
        <f t="shared" si="2"/>
        <v>5</v>
      </c>
      <c r="B85" s="179" t="s">
        <v>108</v>
      </c>
      <c r="C85" s="180" t="s">
        <v>111</v>
      </c>
      <c r="D85" s="181" t="s">
        <v>334</v>
      </c>
      <c r="E85" s="241">
        <v>144</v>
      </c>
      <c r="F85" s="241">
        <v>181</v>
      </c>
      <c r="G85" s="241">
        <v>37</v>
      </c>
      <c r="H85" s="183">
        <v>29110</v>
      </c>
      <c r="I85" s="178">
        <v>36600</v>
      </c>
      <c r="J85" s="178">
        <v>65710</v>
      </c>
      <c r="K85" s="266"/>
      <c r="L85" s="1"/>
      <c r="M85" s="183"/>
    </row>
    <row r="86" spans="1:13" x14ac:dyDescent="0.25">
      <c r="A86" s="85">
        <f t="shared" si="2"/>
        <v>6</v>
      </c>
      <c r="B86" s="185" t="s">
        <v>109</v>
      </c>
      <c r="C86" s="58" t="s">
        <v>110</v>
      </c>
      <c r="D86" s="70" t="s">
        <v>334</v>
      </c>
      <c r="E86" s="234">
        <v>1230</v>
      </c>
      <c r="F86" s="234">
        <v>1248</v>
      </c>
      <c r="G86" s="234">
        <v>18</v>
      </c>
      <c r="H86" s="276">
        <v>8000</v>
      </c>
      <c r="I86" s="178">
        <v>16650</v>
      </c>
      <c r="J86" s="178">
        <v>29650</v>
      </c>
      <c r="K86" s="266"/>
      <c r="L86" s="1"/>
      <c r="M86" s="183"/>
    </row>
    <row r="87" spans="1:13" x14ac:dyDescent="0.25">
      <c r="A87" s="85">
        <f t="shared" si="2"/>
        <v>7</v>
      </c>
      <c r="B87" s="185" t="s">
        <v>112</v>
      </c>
      <c r="C87" s="58" t="s">
        <v>113</v>
      </c>
      <c r="D87" s="70" t="s">
        <v>335</v>
      </c>
      <c r="E87" s="234">
        <v>13</v>
      </c>
      <c r="F87" s="234">
        <v>13</v>
      </c>
      <c r="G87" s="234">
        <v>0</v>
      </c>
      <c r="H87" s="276">
        <v>24100</v>
      </c>
      <c r="I87" s="178">
        <v>3000</v>
      </c>
      <c r="J87" s="178">
        <v>27100</v>
      </c>
      <c r="K87" s="266"/>
      <c r="L87" s="1"/>
      <c r="M87" s="183"/>
    </row>
    <row r="88" spans="1:13" x14ac:dyDescent="0.25">
      <c r="A88" s="85">
        <f t="shared" si="2"/>
        <v>8</v>
      </c>
      <c r="B88" s="185" t="s">
        <v>114</v>
      </c>
      <c r="C88" s="58" t="s">
        <v>115</v>
      </c>
      <c r="D88" s="70" t="s">
        <v>335</v>
      </c>
      <c r="E88" s="234">
        <v>466</v>
      </c>
      <c r="F88" s="234">
        <v>468</v>
      </c>
      <c r="G88" s="234">
        <v>2</v>
      </c>
      <c r="H88" s="276">
        <v>36250</v>
      </c>
      <c r="I88" s="178">
        <v>4400</v>
      </c>
      <c r="J88" s="178">
        <v>40650</v>
      </c>
      <c r="K88" s="266"/>
      <c r="L88" s="1"/>
      <c r="M88" s="183"/>
    </row>
    <row r="89" spans="1:13" x14ac:dyDescent="0.25">
      <c r="A89" s="213">
        <f t="shared" si="2"/>
        <v>9</v>
      </c>
      <c r="B89" s="179" t="s">
        <v>116</v>
      </c>
      <c r="C89" s="180"/>
      <c r="D89" s="181" t="s">
        <v>334</v>
      </c>
      <c r="E89" s="234">
        <v>175</v>
      </c>
      <c r="F89" s="234">
        <v>186</v>
      </c>
      <c r="G89" s="234">
        <v>11</v>
      </c>
      <c r="H89" s="276">
        <v>9300</v>
      </c>
      <c r="I89" s="254">
        <v>10700</v>
      </c>
      <c r="J89" s="254">
        <v>20000</v>
      </c>
      <c r="K89" s="266"/>
      <c r="L89" s="1"/>
      <c r="M89" s="166"/>
    </row>
    <row r="90" spans="1:13" x14ac:dyDescent="0.25">
      <c r="A90" s="85">
        <f t="shared" si="2"/>
        <v>10</v>
      </c>
      <c r="B90" s="248" t="s">
        <v>117</v>
      </c>
      <c r="C90" s="249" t="s">
        <v>118</v>
      </c>
      <c r="D90" s="250" t="s">
        <v>335</v>
      </c>
      <c r="E90" s="267">
        <v>1464</v>
      </c>
      <c r="F90" s="267">
        <v>1474</v>
      </c>
      <c r="G90" s="234">
        <v>10</v>
      </c>
      <c r="H90" s="276">
        <v>15150</v>
      </c>
      <c r="I90" s="178">
        <v>10000</v>
      </c>
      <c r="J90" s="178">
        <v>25150</v>
      </c>
      <c r="K90" s="266"/>
      <c r="L90" s="1"/>
      <c r="M90" s="183"/>
    </row>
    <row r="91" spans="1:13" x14ac:dyDescent="0.25">
      <c r="A91" s="85">
        <f t="shared" si="2"/>
        <v>11</v>
      </c>
      <c r="B91" s="185" t="s">
        <v>119</v>
      </c>
      <c r="C91" s="58" t="s">
        <v>120</v>
      </c>
      <c r="D91" s="70" t="s">
        <v>335</v>
      </c>
      <c r="E91" s="234">
        <v>2994</v>
      </c>
      <c r="F91" s="234">
        <v>3016</v>
      </c>
      <c r="G91" s="234">
        <v>22</v>
      </c>
      <c r="H91" s="276">
        <v>90700</v>
      </c>
      <c r="I91" s="178">
        <v>20850</v>
      </c>
      <c r="J91" s="178">
        <v>133750</v>
      </c>
      <c r="K91" s="266"/>
      <c r="L91" s="1"/>
      <c r="M91" s="183"/>
    </row>
    <row r="92" spans="1:13" x14ac:dyDescent="0.25">
      <c r="A92" s="85">
        <v>12</v>
      </c>
      <c r="B92" s="185" t="s">
        <v>428</v>
      </c>
      <c r="C92" s="58" t="s">
        <v>458</v>
      </c>
      <c r="D92" s="70"/>
      <c r="E92" s="234">
        <v>7</v>
      </c>
      <c r="F92" s="234">
        <v>8</v>
      </c>
      <c r="G92" s="234">
        <v>1</v>
      </c>
      <c r="H92" s="276">
        <v>7900</v>
      </c>
      <c r="I92" s="178">
        <v>3700</v>
      </c>
      <c r="J92" s="178">
        <v>11600</v>
      </c>
      <c r="K92" s="266"/>
      <c r="L92" s="1"/>
      <c r="M92" s="183"/>
    </row>
    <row r="93" spans="1:13" x14ac:dyDescent="0.25">
      <c r="A93" s="85">
        <v>13</v>
      </c>
      <c r="B93" s="185" t="s">
        <v>121</v>
      </c>
      <c r="C93" s="58" t="s">
        <v>122</v>
      </c>
      <c r="D93" s="70" t="s">
        <v>335</v>
      </c>
      <c r="E93" s="234">
        <v>1975</v>
      </c>
      <c r="F93" s="234">
        <v>1975</v>
      </c>
      <c r="G93" s="234">
        <v>0</v>
      </c>
      <c r="H93" s="375">
        <v>52250</v>
      </c>
      <c r="I93" s="376">
        <v>3000</v>
      </c>
      <c r="J93" s="178">
        <v>55250</v>
      </c>
      <c r="K93" s="266"/>
      <c r="L93" s="1"/>
      <c r="M93" s="183"/>
    </row>
    <row r="94" spans="1:13" x14ac:dyDescent="0.25">
      <c r="A94" s="85">
        <v>14</v>
      </c>
      <c r="B94" s="185" t="s">
        <v>123</v>
      </c>
      <c r="C94" s="58" t="s">
        <v>124</v>
      </c>
      <c r="D94" s="70" t="s">
        <v>335</v>
      </c>
      <c r="E94" s="234">
        <v>6166</v>
      </c>
      <c r="F94" s="234">
        <v>6179</v>
      </c>
      <c r="G94" s="234">
        <v>13</v>
      </c>
      <c r="H94" s="276"/>
      <c r="I94" s="178">
        <v>12100</v>
      </c>
      <c r="J94" s="178">
        <v>12100</v>
      </c>
      <c r="K94" s="266"/>
      <c r="L94" s="1"/>
      <c r="M94" s="183"/>
    </row>
    <row r="95" spans="1:13" x14ac:dyDescent="0.25">
      <c r="A95" s="85">
        <v>15</v>
      </c>
      <c r="B95" s="185" t="s">
        <v>429</v>
      </c>
      <c r="C95" s="58"/>
      <c r="D95" s="70" t="s">
        <v>335</v>
      </c>
      <c r="E95" s="234">
        <v>60</v>
      </c>
      <c r="F95" s="234">
        <v>70</v>
      </c>
      <c r="G95" s="234">
        <v>10</v>
      </c>
      <c r="H95" s="276"/>
      <c r="I95" s="178">
        <v>10000</v>
      </c>
      <c r="J95" s="178">
        <v>10000</v>
      </c>
      <c r="K95" s="266"/>
      <c r="L95" s="1"/>
      <c r="M95" s="183"/>
    </row>
    <row r="96" spans="1:13" x14ac:dyDescent="0.25">
      <c r="A96" s="85">
        <v>16</v>
      </c>
      <c r="B96" s="185" t="s">
        <v>125</v>
      </c>
      <c r="C96" s="58" t="s">
        <v>126</v>
      </c>
      <c r="D96" s="70" t="s">
        <v>335</v>
      </c>
      <c r="E96" s="234">
        <v>3151</v>
      </c>
      <c r="F96" s="234">
        <v>3161</v>
      </c>
      <c r="G96" s="234">
        <v>10</v>
      </c>
      <c r="H96" s="310">
        <v>12400</v>
      </c>
      <c r="I96" s="178">
        <v>10000</v>
      </c>
      <c r="J96" s="178">
        <v>22400</v>
      </c>
      <c r="K96" s="266"/>
      <c r="L96" s="1"/>
      <c r="M96" s="183"/>
    </row>
    <row r="97" spans="1:13" x14ac:dyDescent="0.25">
      <c r="A97" s="85">
        <v>17</v>
      </c>
      <c r="B97" s="185" t="s">
        <v>127</v>
      </c>
      <c r="C97" s="58" t="s">
        <v>128</v>
      </c>
      <c r="D97" s="70" t="s">
        <v>335</v>
      </c>
      <c r="E97" s="234">
        <v>1773</v>
      </c>
      <c r="F97" s="234">
        <v>1773</v>
      </c>
      <c r="G97" s="234">
        <v>0</v>
      </c>
      <c r="H97" s="276"/>
      <c r="I97" s="178">
        <v>3000</v>
      </c>
      <c r="J97" s="178">
        <v>3000</v>
      </c>
      <c r="K97" s="266"/>
      <c r="L97" s="1"/>
      <c r="M97" s="183"/>
    </row>
    <row r="98" spans="1:13" x14ac:dyDescent="0.25">
      <c r="A98" s="85">
        <v>18</v>
      </c>
      <c r="B98" s="185" t="s">
        <v>129</v>
      </c>
      <c r="C98" s="58" t="s">
        <v>130</v>
      </c>
      <c r="D98" s="70" t="s">
        <v>335</v>
      </c>
      <c r="E98" s="234">
        <v>2461</v>
      </c>
      <c r="F98" s="234">
        <v>2468</v>
      </c>
      <c r="G98" s="234">
        <v>7</v>
      </c>
      <c r="H98" s="276">
        <v>17340</v>
      </c>
      <c r="I98" s="178">
        <v>7900</v>
      </c>
      <c r="J98" s="178">
        <v>25240</v>
      </c>
      <c r="K98" s="266"/>
      <c r="L98" s="1"/>
      <c r="M98" s="183"/>
    </row>
    <row r="99" spans="1:13" x14ac:dyDescent="0.25">
      <c r="A99" s="85">
        <v>19</v>
      </c>
      <c r="B99" s="369" t="s">
        <v>131</v>
      </c>
      <c r="C99" s="370" t="s">
        <v>132</v>
      </c>
      <c r="D99" s="352" t="s">
        <v>335</v>
      </c>
      <c r="E99" s="371">
        <v>202</v>
      </c>
      <c r="F99" s="371">
        <v>199</v>
      </c>
      <c r="G99" s="371" t="s">
        <v>457</v>
      </c>
      <c r="H99" s="355"/>
      <c r="I99" s="357"/>
      <c r="J99" s="357"/>
      <c r="K99" s="355"/>
      <c r="L99" s="358"/>
      <c r="M99" s="356"/>
    </row>
    <row r="100" spans="1:13" x14ac:dyDescent="0.25">
      <c r="A100" s="213">
        <v>20</v>
      </c>
      <c r="B100" s="179" t="s">
        <v>133</v>
      </c>
      <c r="C100" s="180" t="s">
        <v>134</v>
      </c>
      <c r="D100" s="181" t="s">
        <v>335</v>
      </c>
      <c r="E100" s="241">
        <v>1770</v>
      </c>
      <c r="F100" s="241">
        <v>1788</v>
      </c>
      <c r="G100" s="241">
        <v>18</v>
      </c>
      <c r="H100" s="312">
        <v>3000</v>
      </c>
      <c r="I100" s="268">
        <v>16650</v>
      </c>
      <c r="J100" s="268">
        <v>19650</v>
      </c>
      <c r="K100" s="303"/>
      <c r="L100" s="185"/>
      <c r="M100" s="231"/>
    </row>
    <row r="101" spans="1:13" x14ac:dyDescent="0.25">
      <c r="A101" s="85">
        <v>21</v>
      </c>
      <c r="B101" s="185" t="s">
        <v>135</v>
      </c>
      <c r="C101" s="58" t="s">
        <v>136</v>
      </c>
      <c r="D101" s="70" t="s">
        <v>335</v>
      </c>
      <c r="E101" s="234">
        <v>425</v>
      </c>
      <c r="F101" s="234">
        <v>435</v>
      </c>
      <c r="G101" s="234">
        <v>10</v>
      </c>
      <c r="H101" s="276"/>
      <c r="I101" s="178">
        <v>10000</v>
      </c>
      <c r="J101" s="178">
        <v>10000</v>
      </c>
      <c r="K101" s="266"/>
      <c r="L101" s="1"/>
      <c r="M101" s="183"/>
    </row>
    <row r="102" spans="1:13" x14ac:dyDescent="0.25">
      <c r="A102" s="213">
        <v>22</v>
      </c>
      <c r="B102" s="179" t="s">
        <v>137</v>
      </c>
      <c r="C102" s="180" t="s">
        <v>138</v>
      </c>
      <c r="D102" s="181" t="s">
        <v>335</v>
      </c>
      <c r="E102" s="241">
        <v>2475</v>
      </c>
      <c r="F102" s="241">
        <v>2485</v>
      </c>
      <c r="G102" s="267">
        <v>10</v>
      </c>
      <c r="H102" s="310"/>
      <c r="I102" s="268">
        <v>10000</v>
      </c>
      <c r="J102" s="268">
        <v>10000</v>
      </c>
      <c r="K102" s="274"/>
      <c r="L102" s="248"/>
      <c r="M102" s="232"/>
    </row>
    <row r="103" spans="1:13" x14ac:dyDescent="0.25">
      <c r="A103" s="85">
        <v>23</v>
      </c>
      <c r="B103" s="185" t="s">
        <v>139</v>
      </c>
      <c r="C103" s="58" t="s">
        <v>140</v>
      </c>
      <c r="D103" s="70" t="s">
        <v>335</v>
      </c>
      <c r="E103" s="234">
        <v>19</v>
      </c>
      <c r="F103" s="234">
        <v>21</v>
      </c>
      <c r="G103" s="234">
        <v>2</v>
      </c>
      <c r="H103" s="276">
        <v>19100</v>
      </c>
      <c r="I103" s="178">
        <v>4400</v>
      </c>
      <c r="J103" s="178">
        <v>23500</v>
      </c>
      <c r="K103" s="266"/>
      <c r="L103" s="1"/>
      <c r="M103" s="183"/>
    </row>
    <row r="104" spans="1:13" x14ac:dyDescent="0.25">
      <c r="A104" s="85">
        <v>24</v>
      </c>
      <c r="B104" s="185" t="s">
        <v>141</v>
      </c>
      <c r="C104" s="58" t="s">
        <v>142</v>
      </c>
      <c r="D104" s="70" t="s">
        <v>335</v>
      </c>
      <c r="E104" s="234">
        <v>24</v>
      </c>
      <c r="F104" s="234">
        <v>25</v>
      </c>
      <c r="G104" s="234">
        <v>1</v>
      </c>
      <c r="H104" s="276">
        <v>9300</v>
      </c>
      <c r="I104" s="178">
        <v>3700</v>
      </c>
      <c r="J104" s="178">
        <v>13000</v>
      </c>
      <c r="K104" s="266"/>
      <c r="L104" s="1"/>
      <c r="M104" s="183"/>
    </row>
    <row r="105" spans="1:13" x14ac:dyDescent="0.25">
      <c r="A105" s="85">
        <v>25</v>
      </c>
      <c r="B105" s="185" t="s">
        <v>143</v>
      </c>
      <c r="C105" s="58" t="s">
        <v>144</v>
      </c>
      <c r="D105" s="70" t="s">
        <v>335</v>
      </c>
      <c r="E105" s="234">
        <v>0</v>
      </c>
      <c r="F105" s="234">
        <v>0</v>
      </c>
      <c r="G105" s="234">
        <v>0</v>
      </c>
      <c r="H105" s="276"/>
      <c r="I105" s="178">
        <v>3000</v>
      </c>
      <c r="J105" s="178">
        <v>3000</v>
      </c>
      <c r="K105" s="266"/>
      <c r="L105" s="1"/>
      <c r="M105" s="183"/>
    </row>
    <row r="106" spans="1:13" x14ac:dyDescent="0.25">
      <c r="A106" s="159">
        <v>26</v>
      </c>
      <c r="B106" s="184" t="s">
        <v>145</v>
      </c>
      <c r="C106" s="153" t="s">
        <v>146</v>
      </c>
      <c r="D106" s="154" t="s">
        <v>335</v>
      </c>
      <c r="E106" s="242">
        <v>2409</v>
      </c>
      <c r="F106" s="242">
        <v>2421</v>
      </c>
      <c r="G106" s="242">
        <v>12</v>
      </c>
      <c r="H106" s="271"/>
      <c r="I106" s="176">
        <v>5700</v>
      </c>
      <c r="J106" s="176">
        <v>5700</v>
      </c>
      <c r="K106" s="271"/>
      <c r="L106" s="160"/>
      <c r="M106" s="164"/>
    </row>
    <row r="107" spans="1:13" x14ac:dyDescent="0.25">
      <c r="A107" s="159">
        <v>27</v>
      </c>
      <c r="B107" s="184" t="s">
        <v>147</v>
      </c>
      <c r="C107" s="153" t="s">
        <v>148</v>
      </c>
      <c r="D107" s="154" t="s">
        <v>335</v>
      </c>
      <c r="E107" s="242">
        <v>2233</v>
      </c>
      <c r="F107" s="242">
        <v>2248</v>
      </c>
      <c r="G107" s="242">
        <v>15</v>
      </c>
      <c r="H107" s="271"/>
      <c r="I107" s="176">
        <v>6750</v>
      </c>
      <c r="J107" s="176">
        <v>6750</v>
      </c>
      <c r="K107" s="271"/>
      <c r="L107" s="160"/>
      <c r="M107" s="164"/>
    </row>
    <row r="108" spans="1:13" x14ac:dyDescent="0.25">
      <c r="A108" s="85">
        <v>28</v>
      </c>
      <c r="B108" s="185" t="s">
        <v>149</v>
      </c>
      <c r="C108" s="58" t="s">
        <v>150</v>
      </c>
      <c r="D108" s="70" t="s">
        <v>335</v>
      </c>
      <c r="E108" s="234">
        <v>140</v>
      </c>
      <c r="F108" s="234">
        <v>148</v>
      </c>
      <c r="G108" s="234">
        <v>8</v>
      </c>
      <c r="H108" s="276"/>
      <c r="I108" s="178">
        <v>8600</v>
      </c>
      <c r="J108" s="178">
        <v>8600</v>
      </c>
      <c r="K108" s="266"/>
      <c r="L108" s="1"/>
      <c r="M108" s="183"/>
    </row>
    <row r="109" spans="1:13" x14ac:dyDescent="0.25">
      <c r="A109" s="85">
        <v>29</v>
      </c>
      <c r="B109" s="185" t="s">
        <v>151</v>
      </c>
      <c r="C109" s="58" t="s">
        <v>152</v>
      </c>
      <c r="D109" s="70" t="s">
        <v>335</v>
      </c>
      <c r="E109" s="234">
        <v>900</v>
      </c>
      <c r="F109" s="234">
        <v>916</v>
      </c>
      <c r="G109" s="234">
        <v>16</v>
      </c>
      <c r="H109" s="276">
        <v>14550</v>
      </c>
      <c r="I109" s="178">
        <v>14550</v>
      </c>
      <c r="J109" s="178">
        <v>29100</v>
      </c>
      <c r="K109" s="266"/>
      <c r="L109" s="1"/>
      <c r="M109" s="183"/>
    </row>
    <row r="110" spans="1:13" x14ac:dyDescent="0.25">
      <c r="A110" s="85">
        <v>30</v>
      </c>
      <c r="B110" s="185" t="s">
        <v>153</v>
      </c>
      <c r="C110" s="58" t="s">
        <v>154</v>
      </c>
      <c r="D110" s="70" t="s">
        <v>335</v>
      </c>
      <c r="E110" s="234">
        <v>232</v>
      </c>
      <c r="F110" s="234">
        <v>233</v>
      </c>
      <c r="G110" s="234">
        <v>1</v>
      </c>
      <c r="H110" s="276"/>
      <c r="I110" s="178">
        <v>3700</v>
      </c>
      <c r="J110" s="178">
        <v>3700</v>
      </c>
      <c r="K110" s="266"/>
      <c r="L110" s="1"/>
      <c r="M110" s="183"/>
    </row>
    <row r="111" spans="1:13" x14ac:dyDescent="0.25">
      <c r="A111" s="85">
        <v>31</v>
      </c>
      <c r="B111" s="185" t="s">
        <v>155</v>
      </c>
      <c r="C111" s="58" t="s">
        <v>156</v>
      </c>
      <c r="D111" s="70" t="s">
        <v>335</v>
      </c>
      <c r="E111" s="234">
        <v>17</v>
      </c>
      <c r="F111" s="234">
        <v>20</v>
      </c>
      <c r="G111" s="234">
        <v>3</v>
      </c>
      <c r="H111" s="276"/>
      <c r="I111" s="178">
        <v>5100</v>
      </c>
      <c r="J111" s="178">
        <v>5100</v>
      </c>
      <c r="K111" s="266"/>
      <c r="L111" s="1"/>
      <c r="M111" s="183"/>
    </row>
    <row r="112" spans="1:13" x14ac:dyDescent="0.25">
      <c r="A112" s="85">
        <v>32</v>
      </c>
      <c r="B112" s="185" t="s">
        <v>157</v>
      </c>
      <c r="C112" s="58" t="s">
        <v>158</v>
      </c>
      <c r="D112" s="70" t="s">
        <v>335</v>
      </c>
      <c r="E112" s="234">
        <v>1184</v>
      </c>
      <c r="F112" s="234">
        <v>1189</v>
      </c>
      <c r="G112" s="234">
        <v>5</v>
      </c>
      <c r="H112" s="276">
        <v>7200</v>
      </c>
      <c r="I112" s="178">
        <v>6500</v>
      </c>
      <c r="J112" s="178">
        <v>13700</v>
      </c>
      <c r="K112" s="266"/>
      <c r="L112" s="1"/>
      <c r="M112" s="183"/>
    </row>
    <row r="113" spans="1:13" x14ac:dyDescent="0.25">
      <c r="A113" s="85">
        <v>33</v>
      </c>
      <c r="B113" s="185" t="s">
        <v>159</v>
      </c>
      <c r="C113" s="58" t="s">
        <v>160</v>
      </c>
      <c r="D113" s="70" t="s">
        <v>335</v>
      </c>
      <c r="E113" s="234">
        <v>1408</v>
      </c>
      <c r="F113" s="234">
        <v>1413</v>
      </c>
      <c r="G113" s="234">
        <v>5</v>
      </c>
      <c r="H113" s="276"/>
      <c r="I113" s="178">
        <v>6500</v>
      </c>
      <c r="J113" s="178">
        <v>6500</v>
      </c>
      <c r="K113" s="266"/>
      <c r="L113" s="1"/>
      <c r="M113" s="183"/>
    </row>
    <row r="114" spans="1:13" x14ac:dyDescent="0.25">
      <c r="A114" s="213">
        <v>34</v>
      </c>
      <c r="B114" s="368" t="s">
        <v>161</v>
      </c>
      <c r="C114" s="372" t="s">
        <v>162</v>
      </c>
      <c r="D114" s="373" t="s">
        <v>335</v>
      </c>
      <c r="E114" s="374"/>
      <c r="F114" s="374"/>
      <c r="G114" s="374">
        <v>0</v>
      </c>
      <c r="H114" s="367"/>
      <c r="I114" s="366">
        <v>3000</v>
      </c>
      <c r="J114" s="366">
        <v>3000</v>
      </c>
      <c r="K114" s="367"/>
      <c r="L114" s="368"/>
      <c r="M114" s="365"/>
    </row>
    <row r="115" spans="1:13" x14ac:dyDescent="0.25">
      <c r="A115" s="159">
        <v>35</v>
      </c>
      <c r="B115" s="299" t="s">
        <v>163</v>
      </c>
      <c r="C115" s="300" t="s">
        <v>164</v>
      </c>
      <c r="D115" s="301" t="s">
        <v>335</v>
      </c>
      <c r="E115" s="298">
        <v>2545</v>
      </c>
      <c r="F115" s="298">
        <v>2554</v>
      </c>
      <c r="G115" s="242">
        <v>9</v>
      </c>
      <c r="H115" s="164">
        <v>19998</v>
      </c>
      <c r="I115" s="176">
        <v>4650</v>
      </c>
      <c r="J115" s="176">
        <v>24648</v>
      </c>
      <c r="K115" s="271"/>
      <c r="L115" s="160"/>
      <c r="M115" s="164"/>
    </row>
    <row r="116" spans="1:13" x14ac:dyDescent="0.25">
      <c r="A116" s="85">
        <v>36</v>
      </c>
      <c r="B116" s="185" t="s">
        <v>165</v>
      </c>
      <c r="C116" s="58" t="s">
        <v>166</v>
      </c>
      <c r="D116" s="70" t="s">
        <v>335</v>
      </c>
      <c r="E116" s="234">
        <v>1169</v>
      </c>
      <c r="F116" s="234">
        <v>1178</v>
      </c>
      <c r="G116" s="234">
        <v>9</v>
      </c>
      <c r="H116" s="377" t="s">
        <v>457</v>
      </c>
      <c r="I116" s="178">
        <v>9300</v>
      </c>
      <c r="J116" s="178">
        <v>9300</v>
      </c>
      <c r="K116" s="266"/>
      <c r="L116" s="1"/>
      <c r="M116" s="183"/>
    </row>
    <row r="117" spans="1:13" x14ac:dyDescent="0.25">
      <c r="A117" s="85">
        <v>37</v>
      </c>
      <c r="B117" s="185" t="s">
        <v>167</v>
      </c>
      <c r="C117" s="58" t="s">
        <v>168</v>
      </c>
      <c r="D117" s="70" t="s">
        <v>335</v>
      </c>
      <c r="E117" s="234">
        <v>104</v>
      </c>
      <c r="F117" s="234">
        <v>104</v>
      </c>
      <c r="G117" s="234">
        <v>0</v>
      </c>
      <c r="H117" s="276">
        <v>6700</v>
      </c>
      <c r="I117" s="178"/>
      <c r="J117" s="178"/>
      <c r="K117" s="266"/>
      <c r="L117" s="1"/>
      <c r="M117" s="183"/>
    </row>
    <row r="118" spans="1:13" x14ac:dyDescent="0.25">
      <c r="A118" s="85">
        <v>38</v>
      </c>
      <c r="B118" s="185" t="s">
        <v>169</v>
      </c>
      <c r="C118" s="58" t="s">
        <v>170</v>
      </c>
      <c r="D118" s="70" t="s">
        <v>335</v>
      </c>
      <c r="E118" s="234">
        <v>2754</v>
      </c>
      <c r="F118" s="234">
        <v>2784</v>
      </c>
      <c r="G118" s="234">
        <v>30</v>
      </c>
      <c r="H118" s="310">
        <v>97230</v>
      </c>
      <c r="I118" s="178">
        <v>29250</v>
      </c>
      <c r="J118" s="178">
        <v>126480</v>
      </c>
      <c r="K118" s="266"/>
      <c r="L118" s="1"/>
      <c r="M118" s="183"/>
    </row>
    <row r="119" spans="1:13" x14ac:dyDescent="0.25">
      <c r="A119" s="159">
        <v>39</v>
      </c>
      <c r="B119" s="299" t="s">
        <v>171</v>
      </c>
      <c r="C119" s="300" t="s">
        <v>172</v>
      </c>
      <c r="D119" s="301" t="s">
        <v>335</v>
      </c>
      <c r="E119" s="298">
        <v>4558</v>
      </c>
      <c r="F119" s="298">
        <v>4609</v>
      </c>
      <c r="G119" s="242">
        <v>51</v>
      </c>
      <c r="H119" s="271">
        <v>88300</v>
      </c>
      <c r="I119" s="176">
        <v>51900</v>
      </c>
      <c r="J119" s="176">
        <v>140200</v>
      </c>
      <c r="K119" s="271"/>
      <c r="L119" s="160"/>
      <c r="M119" s="160"/>
    </row>
    <row r="120" spans="1:13" x14ac:dyDescent="0.25">
      <c r="A120" s="85">
        <v>40</v>
      </c>
      <c r="B120" s="179" t="s">
        <v>371</v>
      </c>
      <c r="C120" s="180" t="s">
        <v>174</v>
      </c>
      <c r="D120" s="181" t="s">
        <v>335</v>
      </c>
      <c r="E120" s="234">
        <v>4770</v>
      </c>
      <c r="F120" s="234">
        <v>4848</v>
      </c>
      <c r="G120" s="234">
        <v>78</v>
      </c>
      <c r="H120" s="276">
        <v>168050</v>
      </c>
      <c r="I120" s="178">
        <v>96450</v>
      </c>
      <c r="J120" s="178">
        <v>264500</v>
      </c>
      <c r="K120" s="266"/>
      <c r="L120" s="1"/>
      <c r="M120" s="183"/>
    </row>
    <row r="121" spans="1:13" x14ac:dyDescent="0.25">
      <c r="A121" s="85">
        <v>41</v>
      </c>
      <c r="B121" s="185" t="s">
        <v>175</v>
      </c>
      <c r="C121" s="58" t="s">
        <v>176</v>
      </c>
      <c r="D121" s="70" t="s">
        <v>335</v>
      </c>
      <c r="E121" s="234">
        <v>1137</v>
      </c>
      <c r="F121" s="234">
        <v>1139</v>
      </c>
      <c r="G121" s="234">
        <v>2</v>
      </c>
      <c r="H121" s="276"/>
      <c r="I121" s="178">
        <v>4400</v>
      </c>
      <c r="J121" s="178">
        <v>4400</v>
      </c>
      <c r="K121" s="266"/>
      <c r="L121" s="1"/>
      <c r="M121" s="183"/>
    </row>
    <row r="122" spans="1:13" x14ac:dyDescent="0.25">
      <c r="A122" s="85">
        <v>42</v>
      </c>
      <c r="B122" s="185" t="s">
        <v>441</v>
      </c>
      <c r="C122" s="58" t="s">
        <v>178</v>
      </c>
      <c r="D122" s="70" t="s">
        <v>335</v>
      </c>
      <c r="E122" s="234">
        <v>90</v>
      </c>
      <c r="F122" s="234">
        <v>91</v>
      </c>
      <c r="G122" s="234">
        <v>1</v>
      </c>
      <c r="H122" s="276">
        <v>6700</v>
      </c>
      <c r="I122" s="178">
        <v>3700</v>
      </c>
      <c r="J122" s="178">
        <v>10400</v>
      </c>
      <c r="K122" s="266"/>
      <c r="L122" s="1"/>
      <c r="M122" s="183"/>
    </row>
    <row r="123" spans="1:13" x14ac:dyDescent="0.25">
      <c r="A123" s="118">
        <v>43</v>
      </c>
      <c r="B123" s="186" t="s">
        <v>179</v>
      </c>
      <c r="C123" s="137" t="s">
        <v>180</v>
      </c>
      <c r="D123" s="117" t="s">
        <v>335</v>
      </c>
      <c r="E123" s="234">
        <v>1979</v>
      </c>
      <c r="F123" s="234">
        <v>1997</v>
      </c>
      <c r="G123" s="234">
        <v>18</v>
      </c>
      <c r="H123" s="276"/>
      <c r="I123" s="178">
        <v>16650</v>
      </c>
      <c r="J123" s="178">
        <v>16650</v>
      </c>
      <c r="K123" s="266"/>
      <c r="L123" s="1"/>
      <c r="M123" s="183"/>
    </row>
    <row r="124" spans="1:13" x14ac:dyDescent="0.25">
      <c r="A124" s="85">
        <v>44</v>
      </c>
      <c r="B124" s="248" t="s">
        <v>181</v>
      </c>
      <c r="C124" s="249" t="s">
        <v>182</v>
      </c>
      <c r="D124" s="250" t="s">
        <v>335</v>
      </c>
      <c r="E124" s="267">
        <v>360</v>
      </c>
      <c r="F124" s="267">
        <v>430</v>
      </c>
      <c r="G124" s="267">
        <v>70</v>
      </c>
      <c r="H124" s="310"/>
      <c r="I124" s="268">
        <v>85250</v>
      </c>
      <c r="J124" s="268">
        <v>85250</v>
      </c>
      <c r="K124" s="266"/>
      <c r="L124" s="1"/>
      <c r="M124" s="183"/>
    </row>
    <row r="125" spans="1:13" x14ac:dyDescent="0.25">
      <c r="A125" s="85">
        <v>45</v>
      </c>
      <c r="B125" s="185" t="s">
        <v>183</v>
      </c>
      <c r="C125" s="58" t="s">
        <v>184</v>
      </c>
      <c r="D125" s="70" t="s">
        <v>335</v>
      </c>
      <c r="E125" s="234">
        <v>330</v>
      </c>
      <c r="F125" s="234">
        <v>332</v>
      </c>
      <c r="G125" s="234">
        <v>2</v>
      </c>
      <c r="H125" s="276"/>
      <c r="I125" s="178">
        <v>4400</v>
      </c>
      <c r="J125" s="178">
        <v>4400</v>
      </c>
      <c r="K125" s="266"/>
      <c r="L125" s="1"/>
      <c r="M125" s="183"/>
    </row>
    <row r="126" spans="1:13" x14ac:dyDescent="0.25">
      <c r="A126" s="85">
        <v>46</v>
      </c>
      <c r="B126" s="185" t="s">
        <v>185</v>
      </c>
      <c r="C126" s="58" t="s">
        <v>186</v>
      </c>
      <c r="D126" s="70" t="s">
        <v>335</v>
      </c>
      <c r="E126" s="234">
        <v>2427</v>
      </c>
      <c r="F126" s="234">
        <v>2451</v>
      </c>
      <c r="G126" s="234">
        <v>24</v>
      </c>
      <c r="H126" s="276">
        <v>15600</v>
      </c>
      <c r="I126" s="178">
        <v>22950</v>
      </c>
      <c r="J126" s="178">
        <v>38550</v>
      </c>
      <c r="K126" s="266"/>
      <c r="L126" s="1"/>
      <c r="M126" s="183"/>
    </row>
    <row r="127" spans="1:13" x14ac:dyDescent="0.25">
      <c r="A127" s="213">
        <v>47</v>
      </c>
      <c r="B127" s="248" t="s">
        <v>187</v>
      </c>
      <c r="C127" s="249" t="s">
        <v>188</v>
      </c>
      <c r="D127" s="250" t="s">
        <v>335</v>
      </c>
      <c r="E127" s="234">
        <v>4089</v>
      </c>
      <c r="F127" s="234">
        <v>4102</v>
      </c>
      <c r="G127" s="234">
        <v>13</v>
      </c>
      <c r="H127" s="312"/>
      <c r="I127" s="178">
        <v>12100</v>
      </c>
      <c r="J127" s="178">
        <v>12100</v>
      </c>
      <c r="K127" s="266"/>
      <c r="L127" s="1"/>
      <c r="M127" s="231"/>
    </row>
    <row r="128" spans="1:13" x14ac:dyDescent="0.25">
      <c r="A128" s="85">
        <v>48</v>
      </c>
      <c r="B128" s="185" t="s">
        <v>189</v>
      </c>
      <c r="C128" s="58" t="s">
        <v>190</v>
      </c>
      <c r="D128" s="70" t="s">
        <v>335</v>
      </c>
      <c r="E128" s="234">
        <v>5</v>
      </c>
      <c r="F128" s="234">
        <v>5</v>
      </c>
      <c r="G128" s="234">
        <v>0</v>
      </c>
      <c r="H128" s="276">
        <v>8800</v>
      </c>
      <c r="I128" s="178">
        <v>3000</v>
      </c>
      <c r="J128" s="178">
        <v>11800</v>
      </c>
      <c r="K128" s="266"/>
      <c r="L128" s="1"/>
      <c r="M128" s="183"/>
    </row>
    <row r="129" spans="1:13" x14ac:dyDescent="0.25">
      <c r="A129" s="159">
        <v>49</v>
      </c>
      <c r="B129" s="184" t="s">
        <v>191</v>
      </c>
      <c r="C129" s="153" t="s">
        <v>192</v>
      </c>
      <c r="D129" s="154" t="s">
        <v>335</v>
      </c>
      <c r="E129" s="242">
        <v>2674</v>
      </c>
      <c r="F129" s="242">
        <v>2696</v>
      </c>
      <c r="G129" s="242">
        <v>22</v>
      </c>
      <c r="H129" s="164"/>
      <c r="I129" s="176">
        <v>14100</v>
      </c>
      <c r="J129" s="176">
        <v>14100</v>
      </c>
      <c r="K129" s="271"/>
      <c r="L129" s="160"/>
      <c r="M129" s="164"/>
    </row>
    <row r="130" spans="1:13" x14ac:dyDescent="0.25">
      <c r="A130" s="85">
        <v>50</v>
      </c>
      <c r="B130" s="248" t="s">
        <v>193</v>
      </c>
      <c r="C130" s="249" t="s">
        <v>194</v>
      </c>
      <c r="D130" s="250" t="s">
        <v>335</v>
      </c>
      <c r="E130" s="267">
        <v>3338</v>
      </c>
      <c r="F130" s="267">
        <v>3358</v>
      </c>
      <c r="G130" s="234">
        <v>20</v>
      </c>
      <c r="H130" s="276"/>
      <c r="I130" s="178">
        <v>18750</v>
      </c>
      <c r="J130" s="178">
        <v>18750</v>
      </c>
      <c r="K130" s="266"/>
      <c r="L130" s="1"/>
      <c r="M130" s="183"/>
    </row>
    <row r="131" spans="1:13" x14ac:dyDescent="0.25">
      <c r="A131" s="159">
        <v>51</v>
      </c>
      <c r="B131" s="184" t="s">
        <v>195</v>
      </c>
      <c r="C131" s="153" t="s">
        <v>196</v>
      </c>
      <c r="D131" s="154" t="s">
        <v>335</v>
      </c>
      <c r="E131" s="242">
        <v>2658</v>
      </c>
      <c r="F131" s="242">
        <v>2667</v>
      </c>
      <c r="G131" s="242">
        <v>9</v>
      </c>
      <c r="H131" s="271"/>
      <c r="I131" s="176">
        <v>4650</v>
      </c>
      <c r="J131" s="176">
        <v>4650</v>
      </c>
      <c r="K131" s="271"/>
      <c r="L131" s="160"/>
      <c r="M131" s="164"/>
    </row>
    <row r="132" spans="1:13" x14ac:dyDescent="0.25">
      <c r="A132" s="247">
        <v>52</v>
      </c>
      <c r="B132" s="248" t="s">
        <v>361</v>
      </c>
      <c r="C132" s="249" t="s">
        <v>198</v>
      </c>
      <c r="D132" s="250" t="s">
        <v>335</v>
      </c>
      <c r="E132" s="234">
        <v>1607</v>
      </c>
      <c r="F132" s="234">
        <v>1626</v>
      </c>
      <c r="G132" s="234">
        <v>19</v>
      </c>
      <c r="H132" s="276"/>
      <c r="I132" s="178">
        <v>17700</v>
      </c>
      <c r="J132" s="178">
        <v>17700</v>
      </c>
      <c r="K132" s="266"/>
      <c r="L132" s="1"/>
      <c r="M132" s="183"/>
    </row>
    <row r="133" spans="1:13" x14ac:dyDescent="0.25">
      <c r="A133" s="85">
        <v>53</v>
      </c>
      <c r="B133" s="185" t="s">
        <v>199</v>
      </c>
      <c r="C133" s="58" t="s">
        <v>200</v>
      </c>
      <c r="D133" s="70" t="s">
        <v>335</v>
      </c>
      <c r="E133" s="234">
        <v>1429</v>
      </c>
      <c r="F133" s="234">
        <v>1437</v>
      </c>
      <c r="G133" s="234">
        <v>8</v>
      </c>
      <c r="H133" s="276">
        <v>14550</v>
      </c>
      <c r="I133" s="178">
        <v>8600</v>
      </c>
      <c r="J133" s="178">
        <v>23150</v>
      </c>
      <c r="K133" s="266"/>
      <c r="L133" s="1"/>
      <c r="M133" s="183"/>
    </row>
    <row r="134" spans="1:13" x14ac:dyDescent="0.25">
      <c r="A134" s="85">
        <v>54</v>
      </c>
      <c r="B134" s="185" t="s">
        <v>201</v>
      </c>
      <c r="C134" s="58" t="s">
        <v>202</v>
      </c>
      <c r="D134" s="70" t="s">
        <v>335</v>
      </c>
      <c r="E134" s="234">
        <v>563</v>
      </c>
      <c r="F134" s="234">
        <v>566</v>
      </c>
      <c r="G134" s="234">
        <v>3</v>
      </c>
      <c r="H134" s="276">
        <v>4400</v>
      </c>
      <c r="I134" s="178">
        <v>5100</v>
      </c>
      <c r="J134" s="178">
        <v>9500</v>
      </c>
      <c r="K134" s="266"/>
      <c r="L134" s="1"/>
      <c r="M134" s="183"/>
    </row>
    <row r="135" spans="1:13" x14ac:dyDescent="0.25">
      <c r="A135" s="85">
        <v>55</v>
      </c>
      <c r="B135" s="179" t="s">
        <v>203</v>
      </c>
      <c r="C135" s="180" t="s">
        <v>204</v>
      </c>
      <c r="D135" s="181" t="s">
        <v>335</v>
      </c>
      <c r="E135" s="241">
        <v>2207</v>
      </c>
      <c r="F135" s="241">
        <v>2702</v>
      </c>
      <c r="G135" s="234"/>
      <c r="H135" s="276"/>
      <c r="I135" s="178"/>
      <c r="J135" s="178"/>
      <c r="K135" s="266"/>
      <c r="L135" s="1"/>
      <c r="M135" s="183"/>
    </row>
    <row r="136" spans="1:13" x14ac:dyDescent="0.25">
      <c r="A136" s="85">
        <v>56</v>
      </c>
      <c r="B136" s="185" t="s">
        <v>205</v>
      </c>
      <c r="C136" s="58" t="s">
        <v>206</v>
      </c>
      <c r="D136" s="70" t="s">
        <v>335</v>
      </c>
      <c r="E136" s="234">
        <v>1035</v>
      </c>
      <c r="F136" s="234">
        <v>1040</v>
      </c>
      <c r="G136" s="234">
        <v>5</v>
      </c>
      <c r="H136" s="276">
        <v>5100</v>
      </c>
      <c r="I136" s="178">
        <v>20500</v>
      </c>
      <c r="J136" s="178">
        <v>25600</v>
      </c>
      <c r="K136" s="266"/>
      <c r="L136" s="1"/>
      <c r="M136" s="183"/>
    </row>
    <row r="137" spans="1:13" x14ac:dyDescent="0.25">
      <c r="A137" s="85">
        <v>57</v>
      </c>
      <c r="B137" s="185" t="s">
        <v>207</v>
      </c>
      <c r="C137" s="58" t="s">
        <v>208</v>
      </c>
      <c r="D137" s="70" t="s">
        <v>335</v>
      </c>
      <c r="E137" s="234">
        <v>190</v>
      </c>
      <c r="F137" s="234">
        <v>192</v>
      </c>
      <c r="G137" s="234">
        <v>2</v>
      </c>
      <c r="H137" s="276">
        <v>12500</v>
      </c>
      <c r="I137" s="178">
        <v>4400</v>
      </c>
      <c r="J137" s="178">
        <v>16900</v>
      </c>
      <c r="K137" s="266"/>
      <c r="L137" s="1"/>
      <c r="M137" s="183"/>
    </row>
    <row r="138" spans="1:13" x14ac:dyDescent="0.25">
      <c r="A138" s="85">
        <v>58</v>
      </c>
      <c r="B138" s="185" t="s">
        <v>209</v>
      </c>
      <c r="C138" s="58" t="s">
        <v>210</v>
      </c>
      <c r="D138" s="70" t="s">
        <v>335</v>
      </c>
      <c r="E138" s="234">
        <v>92</v>
      </c>
      <c r="F138" s="234">
        <v>94</v>
      </c>
      <c r="G138" s="234">
        <v>2</v>
      </c>
      <c r="H138" s="276">
        <v>3000</v>
      </c>
      <c r="I138" s="178">
        <v>4400</v>
      </c>
      <c r="J138" s="178">
        <v>7400</v>
      </c>
      <c r="K138" s="266"/>
      <c r="L138" s="1"/>
      <c r="M138" s="183"/>
    </row>
    <row r="139" spans="1:13" x14ac:dyDescent="0.25">
      <c r="A139" s="85">
        <v>59</v>
      </c>
      <c r="B139" s="185" t="s">
        <v>211</v>
      </c>
      <c r="C139" s="58" t="s">
        <v>212</v>
      </c>
      <c r="D139" s="70" t="s">
        <v>335</v>
      </c>
      <c r="E139" s="234">
        <v>2062</v>
      </c>
      <c r="F139" s="234">
        <v>2109</v>
      </c>
      <c r="G139" s="234">
        <v>47</v>
      </c>
      <c r="H139" s="276"/>
      <c r="I139" s="178">
        <v>53050</v>
      </c>
      <c r="J139" s="178">
        <v>53050</v>
      </c>
      <c r="K139" s="266"/>
      <c r="L139" s="1"/>
      <c r="M139" s="183"/>
    </row>
    <row r="140" spans="1:13" x14ac:dyDescent="0.25">
      <c r="A140" s="85">
        <v>60</v>
      </c>
      <c r="B140" s="185" t="s">
        <v>218</v>
      </c>
      <c r="C140" s="58" t="s">
        <v>217</v>
      </c>
      <c r="D140" s="70" t="s">
        <v>335</v>
      </c>
      <c r="E140" s="234">
        <v>994</v>
      </c>
      <c r="F140" s="234">
        <v>1007</v>
      </c>
      <c r="G140" s="234">
        <v>13</v>
      </c>
      <c r="H140" s="276"/>
      <c r="I140" s="178">
        <v>12100</v>
      </c>
      <c r="J140" s="178">
        <v>12100</v>
      </c>
      <c r="K140" s="266">
        <v>12100</v>
      </c>
      <c r="L140" s="1" t="s">
        <v>434</v>
      </c>
      <c r="M140" s="183">
        <v>0</v>
      </c>
    </row>
    <row r="141" spans="1:13" x14ac:dyDescent="0.25">
      <c r="A141" s="85">
        <v>61</v>
      </c>
      <c r="B141" s="318" t="s">
        <v>213</v>
      </c>
      <c r="C141" s="319" t="s">
        <v>214</v>
      </c>
      <c r="D141" s="320" t="s">
        <v>335</v>
      </c>
      <c r="E141" s="234">
        <v>823</v>
      </c>
      <c r="F141" s="234">
        <v>826</v>
      </c>
      <c r="G141" s="234">
        <v>3</v>
      </c>
      <c r="H141" s="276">
        <v>103450</v>
      </c>
      <c r="I141" s="178">
        <v>5100</v>
      </c>
      <c r="J141" s="178">
        <v>108550</v>
      </c>
      <c r="K141" s="266"/>
      <c r="L141" s="324"/>
      <c r="M141" s="183"/>
    </row>
    <row r="142" spans="1:13" x14ac:dyDescent="0.25">
      <c r="A142" s="85">
        <v>62</v>
      </c>
      <c r="B142" s="185" t="s">
        <v>215</v>
      </c>
      <c r="C142" s="58" t="s">
        <v>216</v>
      </c>
      <c r="D142" s="70" t="s">
        <v>335</v>
      </c>
      <c r="E142" s="234">
        <v>0</v>
      </c>
      <c r="F142" s="234">
        <v>0</v>
      </c>
      <c r="G142" s="234">
        <v>0</v>
      </c>
      <c r="H142" s="276">
        <v>11600</v>
      </c>
      <c r="I142" s="178">
        <v>3000</v>
      </c>
      <c r="J142" s="178">
        <v>14600</v>
      </c>
      <c r="K142" s="266"/>
      <c r="L142" s="1"/>
      <c r="M142" s="183"/>
    </row>
    <row r="143" spans="1:13" x14ac:dyDescent="0.25">
      <c r="A143" s="85">
        <v>63</v>
      </c>
      <c r="B143" s="185" t="s">
        <v>219</v>
      </c>
      <c r="C143" s="58" t="s">
        <v>220</v>
      </c>
      <c r="D143" s="70" t="s">
        <v>335</v>
      </c>
      <c r="E143" s="234">
        <v>314</v>
      </c>
      <c r="F143" s="234">
        <v>314</v>
      </c>
      <c r="G143" s="234">
        <v>0</v>
      </c>
      <c r="H143" s="276">
        <v>3000</v>
      </c>
      <c r="I143" s="178">
        <v>3000</v>
      </c>
      <c r="J143" s="178">
        <v>6000</v>
      </c>
      <c r="K143" s="266"/>
      <c r="L143" s="1"/>
      <c r="M143" s="183"/>
    </row>
    <row r="144" spans="1:13" x14ac:dyDescent="0.25">
      <c r="A144" s="85">
        <v>64</v>
      </c>
      <c r="B144" s="185" t="s">
        <v>221</v>
      </c>
      <c r="C144" s="58" t="s">
        <v>222</v>
      </c>
      <c r="D144" s="70" t="s">
        <v>335</v>
      </c>
      <c r="E144" s="234">
        <v>1855</v>
      </c>
      <c r="F144" s="234">
        <v>1856</v>
      </c>
      <c r="G144" s="234">
        <v>1</v>
      </c>
      <c r="H144" s="276">
        <v>51850</v>
      </c>
      <c r="I144" s="178">
        <v>3700</v>
      </c>
      <c r="J144" s="178">
        <v>55550</v>
      </c>
      <c r="K144" s="266"/>
      <c r="L144" s="1"/>
      <c r="M144" s="183"/>
    </row>
    <row r="145" spans="1:13" x14ac:dyDescent="0.25">
      <c r="A145" s="85">
        <v>65</v>
      </c>
      <c r="B145" s="185" t="s">
        <v>223</v>
      </c>
      <c r="C145" s="58" t="s">
        <v>224</v>
      </c>
      <c r="D145" s="70" t="s">
        <v>335</v>
      </c>
      <c r="E145" s="234">
        <v>2285</v>
      </c>
      <c r="F145" s="234">
        <v>2358</v>
      </c>
      <c r="G145" s="234">
        <v>73</v>
      </c>
      <c r="H145" s="276">
        <v>18750</v>
      </c>
      <c r="I145" s="178">
        <v>89450</v>
      </c>
      <c r="J145" s="178">
        <v>108200</v>
      </c>
      <c r="K145" s="266"/>
      <c r="L145" s="1"/>
      <c r="M145" s="183"/>
    </row>
    <row r="146" spans="1:13" x14ac:dyDescent="0.25">
      <c r="A146" s="85">
        <v>66</v>
      </c>
      <c r="B146" s="185" t="s">
        <v>225</v>
      </c>
      <c r="C146" s="58" t="s">
        <v>226</v>
      </c>
      <c r="D146" s="70" t="s">
        <v>335</v>
      </c>
      <c r="E146" s="234">
        <v>1407</v>
      </c>
      <c r="F146" s="234">
        <v>1407</v>
      </c>
      <c r="G146" s="234">
        <v>0</v>
      </c>
      <c r="H146" s="276">
        <v>3000</v>
      </c>
      <c r="I146" s="178">
        <v>3000</v>
      </c>
      <c r="J146" s="178">
        <v>6000</v>
      </c>
      <c r="K146" s="266"/>
      <c r="L146" s="1"/>
      <c r="M146" s="183"/>
    </row>
    <row r="147" spans="1:13" x14ac:dyDescent="0.25">
      <c r="A147" s="85">
        <v>67</v>
      </c>
      <c r="B147" s="185" t="s">
        <v>227</v>
      </c>
      <c r="C147" s="58" t="s">
        <v>228</v>
      </c>
      <c r="D147" s="70" t="s">
        <v>335</v>
      </c>
      <c r="E147" s="234">
        <v>3690</v>
      </c>
      <c r="F147" s="234">
        <v>3712</v>
      </c>
      <c r="G147" s="234">
        <v>22</v>
      </c>
      <c r="H147" s="276"/>
      <c r="I147" s="254">
        <v>20850</v>
      </c>
      <c r="J147" s="254">
        <v>20850</v>
      </c>
      <c r="K147" s="266"/>
      <c r="L147" s="1"/>
      <c r="M147" s="166"/>
    </row>
    <row r="148" spans="1:13" x14ac:dyDescent="0.25">
      <c r="A148" s="85">
        <v>68</v>
      </c>
      <c r="B148" s="185" t="s">
        <v>229</v>
      </c>
      <c r="C148" s="58" t="s">
        <v>230</v>
      </c>
      <c r="D148" s="70" t="s">
        <v>335</v>
      </c>
      <c r="E148" s="234">
        <v>1494</v>
      </c>
      <c r="F148" s="234">
        <v>1500</v>
      </c>
      <c r="G148" s="234">
        <v>6</v>
      </c>
      <c r="H148" s="310">
        <v>48400</v>
      </c>
      <c r="I148" s="178">
        <v>7200</v>
      </c>
      <c r="J148" s="178">
        <v>55600</v>
      </c>
      <c r="K148" s="266"/>
      <c r="L148" s="1"/>
      <c r="M148" s="183"/>
    </row>
    <row r="149" spans="1:13" x14ac:dyDescent="0.25">
      <c r="A149" s="159">
        <v>69</v>
      </c>
      <c r="B149" s="206" t="s">
        <v>231</v>
      </c>
      <c r="C149" s="220" t="s">
        <v>232</v>
      </c>
      <c r="D149" s="208" t="s">
        <v>335</v>
      </c>
      <c r="E149" s="242">
        <v>4423</v>
      </c>
      <c r="F149" s="242">
        <v>4447</v>
      </c>
      <c r="G149" s="242">
        <v>24</v>
      </c>
      <c r="H149" s="314">
        <v>29050</v>
      </c>
      <c r="I149" s="176">
        <v>16200</v>
      </c>
      <c r="J149" s="176">
        <v>45250</v>
      </c>
      <c r="K149" s="271"/>
      <c r="L149" s="160"/>
      <c r="M149" s="157"/>
    </row>
    <row r="150" spans="1:13" x14ac:dyDescent="0.25">
      <c r="A150" s="85">
        <v>70</v>
      </c>
      <c r="B150" s="185" t="s">
        <v>233</v>
      </c>
      <c r="C150" s="58" t="s">
        <v>234</v>
      </c>
      <c r="D150" s="70" t="s">
        <v>335</v>
      </c>
      <c r="E150" s="234">
        <v>5688</v>
      </c>
      <c r="F150" s="234">
        <v>5711</v>
      </c>
      <c r="G150" s="234">
        <v>23</v>
      </c>
      <c r="H150" s="276"/>
      <c r="I150" s="178">
        <v>21900</v>
      </c>
      <c r="J150" s="266">
        <v>21900</v>
      </c>
      <c r="K150" s="266"/>
      <c r="L150" s="1"/>
      <c r="M150" s="183"/>
    </row>
    <row r="151" spans="1:13" x14ac:dyDescent="0.25">
      <c r="A151" s="85">
        <v>71</v>
      </c>
      <c r="B151" s="185" t="s">
        <v>375</v>
      </c>
      <c r="C151" s="58" t="s">
        <v>236</v>
      </c>
      <c r="D151" s="70" t="s">
        <v>335</v>
      </c>
      <c r="E151" s="234">
        <v>1706</v>
      </c>
      <c r="F151" s="234">
        <v>1723</v>
      </c>
      <c r="G151" s="234">
        <v>17</v>
      </c>
      <c r="H151" s="276"/>
      <c r="I151" s="178">
        <v>15600</v>
      </c>
      <c r="J151" s="178">
        <v>15600</v>
      </c>
      <c r="K151" s="266"/>
      <c r="L151" s="1"/>
      <c r="M151" s="183"/>
    </row>
    <row r="152" spans="1:13" x14ac:dyDescent="0.25">
      <c r="A152" s="85">
        <v>72</v>
      </c>
      <c r="B152" s="185" t="s">
        <v>237</v>
      </c>
      <c r="C152" s="58" t="s">
        <v>238</v>
      </c>
      <c r="D152" s="70" t="s">
        <v>335</v>
      </c>
      <c r="E152" s="234">
        <v>3527</v>
      </c>
      <c r="F152" s="234">
        <v>3560</v>
      </c>
      <c r="G152" s="234">
        <v>33</v>
      </c>
      <c r="H152" s="276"/>
      <c r="I152" s="178">
        <v>33450</v>
      </c>
      <c r="J152" s="178">
        <v>33450</v>
      </c>
      <c r="K152" s="266"/>
      <c r="L152" s="1"/>
      <c r="M152" s="183"/>
    </row>
    <row r="153" spans="1:13" x14ac:dyDescent="0.25">
      <c r="A153" s="85">
        <v>73</v>
      </c>
      <c r="B153" s="185" t="s">
        <v>420</v>
      </c>
      <c r="C153" s="58" t="s">
        <v>240</v>
      </c>
      <c r="D153" s="70" t="s">
        <v>335</v>
      </c>
      <c r="E153" s="234">
        <v>3187</v>
      </c>
      <c r="F153" s="234">
        <v>3223</v>
      </c>
      <c r="G153" s="234">
        <v>36</v>
      </c>
      <c r="H153" s="276">
        <v>60090</v>
      </c>
      <c r="I153" s="178">
        <v>37650</v>
      </c>
      <c r="J153" s="266">
        <v>97740</v>
      </c>
      <c r="K153" s="266"/>
      <c r="L153" s="1"/>
      <c r="M153" s="183"/>
    </row>
    <row r="154" spans="1:13" x14ac:dyDescent="0.25">
      <c r="A154" s="85">
        <v>74</v>
      </c>
      <c r="B154" s="185" t="s">
        <v>241</v>
      </c>
      <c r="C154" s="58" t="s">
        <v>242</v>
      </c>
      <c r="D154" s="70" t="s">
        <v>335</v>
      </c>
      <c r="E154" s="234">
        <v>4560</v>
      </c>
      <c r="F154" s="234">
        <v>4601</v>
      </c>
      <c r="G154" s="234">
        <v>41</v>
      </c>
      <c r="H154" s="276">
        <v>89450</v>
      </c>
      <c r="I154" s="178">
        <v>44650</v>
      </c>
      <c r="J154" s="178">
        <v>134100</v>
      </c>
      <c r="K154" s="266"/>
      <c r="L154" s="1"/>
      <c r="M154" s="183"/>
    </row>
    <row r="155" spans="1:13" x14ac:dyDescent="0.25">
      <c r="A155" s="85">
        <v>75</v>
      </c>
      <c r="B155" s="179" t="s">
        <v>243</v>
      </c>
      <c r="C155" s="58" t="s">
        <v>244</v>
      </c>
      <c r="D155" s="70" t="s">
        <v>335</v>
      </c>
      <c r="E155" s="234">
        <v>4303</v>
      </c>
      <c r="F155" s="234">
        <v>4315</v>
      </c>
      <c r="G155" s="234">
        <v>12</v>
      </c>
      <c r="H155" s="276"/>
      <c r="I155" s="178">
        <v>11400</v>
      </c>
      <c r="J155" s="178">
        <v>11400</v>
      </c>
      <c r="K155" s="266"/>
      <c r="L155" s="1"/>
      <c r="M155" s="183"/>
    </row>
    <row r="156" spans="1:13" x14ac:dyDescent="0.25">
      <c r="A156" s="85">
        <v>76</v>
      </c>
      <c r="B156" s="185" t="s">
        <v>245</v>
      </c>
      <c r="C156" s="58" t="s">
        <v>246</v>
      </c>
      <c r="D156" s="70" t="s">
        <v>335</v>
      </c>
      <c r="E156" s="234">
        <v>6925</v>
      </c>
      <c r="F156" s="234">
        <v>6957</v>
      </c>
      <c r="G156" s="234">
        <v>32</v>
      </c>
      <c r="H156" s="276"/>
      <c r="I156" s="178">
        <v>32050</v>
      </c>
      <c r="J156" s="178">
        <v>32050</v>
      </c>
      <c r="K156" s="266"/>
      <c r="L156" s="1"/>
      <c r="M156" s="183"/>
    </row>
    <row r="157" spans="1:13" x14ac:dyDescent="0.25">
      <c r="A157" s="85">
        <v>77</v>
      </c>
      <c r="B157" s="248" t="s">
        <v>247</v>
      </c>
      <c r="C157" s="249" t="s">
        <v>248</v>
      </c>
      <c r="D157" s="250" t="s">
        <v>335</v>
      </c>
      <c r="E157" s="234">
        <v>1031</v>
      </c>
      <c r="F157" s="234">
        <v>1056</v>
      </c>
      <c r="G157" s="234">
        <v>25</v>
      </c>
      <c r="H157" s="276"/>
      <c r="I157" s="178">
        <v>24000</v>
      </c>
      <c r="J157" s="178">
        <v>24000</v>
      </c>
      <c r="K157" s="266"/>
      <c r="L157" s="1"/>
      <c r="M157" s="183"/>
    </row>
    <row r="158" spans="1:13" x14ac:dyDescent="0.25">
      <c r="A158" s="85">
        <v>78</v>
      </c>
      <c r="B158" s="185" t="s">
        <v>249</v>
      </c>
      <c r="C158" s="58" t="s">
        <v>442</v>
      </c>
      <c r="D158" s="70" t="s">
        <v>335</v>
      </c>
      <c r="E158" s="234">
        <v>1953</v>
      </c>
      <c r="F158" s="234">
        <v>1980</v>
      </c>
      <c r="G158" s="234">
        <v>27</v>
      </c>
      <c r="H158" s="276">
        <v>127310</v>
      </c>
      <c r="I158" s="178">
        <v>26100</v>
      </c>
      <c r="J158" s="178">
        <v>153410</v>
      </c>
      <c r="K158" s="266"/>
      <c r="L158" s="1"/>
      <c r="M158" s="183"/>
    </row>
    <row r="159" spans="1:13" x14ac:dyDescent="0.25">
      <c r="A159" s="85">
        <v>79</v>
      </c>
      <c r="B159" s="185" t="s">
        <v>353</v>
      </c>
      <c r="C159" s="58" t="s">
        <v>442</v>
      </c>
      <c r="D159" s="70" t="s">
        <v>335</v>
      </c>
      <c r="E159" s="234">
        <v>498</v>
      </c>
      <c r="F159" s="234">
        <v>500</v>
      </c>
      <c r="G159" s="234">
        <v>2</v>
      </c>
      <c r="H159" s="276">
        <v>18300</v>
      </c>
      <c r="I159" s="178">
        <v>4400</v>
      </c>
      <c r="J159" s="178">
        <v>22700</v>
      </c>
      <c r="K159" s="266"/>
      <c r="L159" s="1"/>
      <c r="M159" s="183"/>
    </row>
    <row r="160" spans="1:13" x14ac:dyDescent="0.25">
      <c r="A160" s="85">
        <v>80</v>
      </c>
      <c r="B160" s="185" t="s">
        <v>251</v>
      </c>
      <c r="C160" s="58"/>
      <c r="D160" s="70" t="s">
        <v>335</v>
      </c>
      <c r="E160" s="234">
        <v>752</v>
      </c>
      <c r="F160" s="234">
        <v>752</v>
      </c>
      <c r="G160" s="234">
        <v>0</v>
      </c>
      <c r="H160" s="276">
        <v>110700</v>
      </c>
      <c r="I160" s="178">
        <v>3000</v>
      </c>
      <c r="J160" s="178">
        <v>113700</v>
      </c>
      <c r="K160" s="266"/>
      <c r="L160" s="1"/>
      <c r="M160" s="183"/>
    </row>
    <row r="161" spans="1:13" x14ac:dyDescent="0.25">
      <c r="A161" s="85">
        <v>81</v>
      </c>
      <c r="B161" s="185" t="s">
        <v>252</v>
      </c>
      <c r="C161" s="58" t="s">
        <v>253</v>
      </c>
      <c r="D161" s="70" t="s">
        <v>335</v>
      </c>
      <c r="E161" s="234">
        <v>2027</v>
      </c>
      <c r="F161" s="234">
        <v>2027</v>
      </c>
      <c r="G161" s="234">
        <v>0</v>
      </c>
      <c r="H161" s="276">
        <v>34850</v>
      </c>
      <c r="I161" s="178">
        <v>3000</v>
      </c>
      <c r="J161" s="178">
        <v>37850</v>
      </c>
      <c r="K161" s="266"/>
      <c r="L161" s="1"/>
      <c r="M161" s="183"/>
    </row>
    <row r="162" spans="1:13" x14ac:dyDescent="0.25">
      <c r="A162" s="85">
        <v>82</v>
      </c>
      <c r="B162" s="179" t="s">
        <v>443</v>
      </c>
      <c r="C162" s="180" t="s">
        <v>255</v>
      </c>
      <c r="D162" s="181" t="s">
        <v>335</v>
      </c>
      <c r="E162" s="234">
        <v>2756</v>
      </c>
      <c r="F162" s="234">
        <v>2767</v>
      </c>
      <c r="G162" s="234">
        <v>11</v>
      </c>
      <c r="H162" s="276">
        <v>46500</v>
      </c>
      <c r="I162" s="178">
        <v>10700</v>
      </c>
      <c r="J162" s="178">
        <v>57200</v>
      </c>
      <c r="K162" s="266"/>
      <c r="L162" s="1"/>
      <c r="M162" s="183"/>
    </row>
    <row r="163" spans="1:13" x14ac:dyDescent="0.25">
      <c r="A163" s="85">
        <v>83</v>
      </c>
      <c r="B163" s="185" t="s">
        <v>4</v>
      </c>
      <c r="C163" s="58"/>
      <c r="D163" s="70" t="s">
        <v>335</v>
      </c>
      <c r="E163" s="234">
        <v>0</v>
      </c>
      <c r="F163" s="234">
        <v>0</v>
      </c>
      <c r="G163" s="234">
        <v>0</v>
      </c>
      <c r="H163" s="276"/>
      <c r="I163" s="178">
        <v>3000</v>
      </c>
      <c r="J163" s="178">
        <v>3000</v>
      </c>
      <c r="K163" s="266"/>
      <c r="L163" s="1"/>
      <c r="M163" s="183"/>
    </row>
    <row r="164" spans="1:13" x14ac:dyDescent="0.25">
      <c r="A164" s="85">
        <v>84</v>
      </c>
      <c r="B164" s="185" t="s">
        <v>256</v>
      </c>
      <c r="C164" s="58" t="s">
        <v>257</v>
      </c>
      <c r="D164" s="70" t="s">
        <v>335</v>
      </c>
      <c r="E164" s="234">
        <v>517</v>
      </c>
      <c r="F164" s="234">
        <v>519</v>
      </c>
      <c r="G164" s="234">
        <v>2</v>
      </c>
      <c r="H164" s="276">
        <v>11700</v>
      </c>
      <c r="I164" s="178">
        <v>4400</v>
      </c>
      <c r="J164" s="178">
        <v>16100</v>
      </c>
      <c r="K164" s="266"/>
      <c r="L164" s="1"/>
      <c r="M164" s="183"/>
    </row>
    <row r="165" spans="1:13" x14ac:dyDescent="0.25">
      <c r="A165" s="85">
        <v>85</v>
      </c>
      <c r="B165" s="185" t="s">
        <v>258</v>
      </c>
      <c r="C165" s="58" t="s">
        <v>259</v>
      </c>
      <c r="D165" s="70" t="s">
        <v>335</v>
      </c>
      <c r="E165" s="234">
        <v>2</v>
      </c>
      <c r="F165" s="234">
        <v>22</v>
      </c>
      <c r="G165" s="234">
        <v>20</v>
      </c>
      <c r="H165" s="276">
        <v>23070</v>
      </c>
      <c r="I165" s="178">
        <v>18750</v>
      </c>
      <c r="J165" s="177">
        <v>60490</v>
      </c>
      <c r="K165" s="266"/>
      <c r="L165" s="1"/>
      <c r="M165" s="183"/>
    </row>
    <row r="166" spans="1:13" x14ac:dyDescent="0.25">
      <c r="A166" s="85">
        <v>86</v>
      </c>
      <c r="B166" s="185" t="s">
        <v>260</v>
      </c>
      <c r="C166" s="58" t="s">
        <v>261</v>
      </c>
      <c r="D166" s="70" t="s">
        <v>335</v>
      </c>
      <c r="E166" s="234">
        <v>351</v>
      </c>
      <c r="F166" s="234">
        <v>351</v>
      </c>
      <c r="G166" s="234">
        <v>0</v>
      </c>
      <c r="H166" s="276">
        <v>10700</v>
      </c>
      <c r="I166" s="178">
        <v>3000</v>
      </c>
      <c r="J166" s="178">
        <v>13700</v>
      </c>
      <c r="K166" s="266"/>
      <c r="L166" s="1"/>
      <c r="M166" s="183"/>
    </row>
    <row r="167" spans="1:13" x14ac:dyDescent="0.25">
      <c r="A167" s="85">
        <v>87</v>
      </c>
      <c r="B167" s="185" t="s">
        <v>262</v>
      </c>
      <c r="C167" s="58" t="s">
        <v>263</v>
      </c>
      <c r="D167" s="70" t="s">
        <v>335</v>
      </c>
      <c r="E167" s="234">
        <v>567</v>
      </c>
      <c r="F167" s="234">
        <v>581</v>
      </c>
      <c r="G167" s="234">
        <v>14</v>
      </c>
      <c r="H167" s="276">
        <v>25050</v>
      </c>
      <c r="I167" s="178">
        <v>12800</v>
      </c>
      <c r="J167" s="178">
        <v>37850</v>
      </c>
      <c r="K167" s="266"/>
      <c r="L167" s="1"/>
      <c r="M167" s="183"/>
    </row>
    <row r="168" spans="1:13" x14ac:dyDescent="0.25">
      <c r="A168" s="85">
        <v>88</v>
      </c>
      <c r="B168" s="185" t="s">
        <v>264</v>
      </c>
      <c r="C168" s="58" t="s">
        <v>265</v>
      </c>
      <c r="D168" s="70" t="s">
        <v>335</v>
      </c>
      <c r="E168" s="234">
        <v>3589</v>
      </c>
      <c r="F168" s="234">
        <v>3603</v>
      </c>
      <c r="G168" s="234">
        <v>14</v>
      </c>
      <c r="H168" s="310">
        <v>6500</v>
      </c>
      <c r="I168" s="178">
        <v>12800</v>
      </c>
      <c r="J168" s="178">
        <v>19300</v>
      </c>
      <c r="K168" s="266"/>
      <c r="L168" s="1"/>
      <c r="M168" s="183"/>
    </row>
    <row r="169" spans="1:13" x14ac:dyDescent="0.25">
      <c r="A169" s="256">
        <v>89</v>
      </c>
      <c r="B169" s="195" t="s">
        <v>266</v>
      </c>
      <c r="C169" s="196" t="s">
        <v>267</v>
      </c>
      <c r="D169" s="197" t="s">
        <v>335</v>
      </c>
      <c r="E169" s="243">
        <v>2</v>
      </c>
      <c r="F169" s="243">
        <v>2</v>
      </c>
      <c r="G169" s="243">
        <v>0</v>
      </c>
      <c r="H169" s="275">
        <v>97200</v>
      </c>
      <c r="I169" s="201">
        <v>3000</v>
      </c>
      <c r="J169" s="201">
        <v>100200</v>
      </c>
      <c r="K169" s="275"/>
      <c r="L169" s="194"/>
      <c r="M169" s="200"/>
    </row>
    <row r="170" spans="1:13" x14ac:dyDescent="0.25">
      <c r="A170" s="85">
        <v>90</v>
      </c>
      <c r="B170" s="185" t="s">
        <v>268</v>
      </c>
      <c r="C170" s="58" t="s">
        <v>269</v>
      </c>
      <c r="D170" s="70" t="s">
        <v>335</v>
      </c>
      <c r="E170" s="234">
        <v>1640</v>
      </c>
      <c r="F170" s="234">
        <v>1671</v>
      </c>
      <c r="G170" s="234">
        <v>31</v>
      </c>
      <c r="H170" s="276">
        <v>54450</v>
      </c>
      <c r="I170" s="178">
        <v>30650</v>
      </c>
      <c r="J170" s="178">
        <v>85100</v>
      </c>
      <c r="K170" s="266"/>
      <c r="L170" s="1"/>
      <c r="M170" s="183"/>
    </row>
    <row r="171" spans="1:13" x14ac:dyDescent="0.25">
      <c r="A171" s="85">
        <v>91</v>
      </c>
      <c r="B171" s="185" t="s">
        <v>271</v>
      </c>
      <c r="C171" s="58" t="s">
        <v>270</v>
      </c>
      <c r="D171" s="70" t="s">
        <v>335</v>
      </c>
      <c r="E171" s="241">
        <v>2604</v>
      </c>
      <c r="F171" s="241">
        <v>2604</v>
      </c>
      <c r="G171" s="234">
        <v>0</v>
      </c>
      <c r="H171" s="276">
        <v>3000</v>
      </c>
      <c r="I171" s="178">
        <v>3000</v>
      </c>
      <c r="J171" s="178">
        <v>6000</v>
      </c>
      <c r="K171" s="266"/>
      <c r="L171" s="1"/>
      <c r="M171" s="183"/>
    </row>
    <row r="172" spans="1:13" x14ac:dyDescent="0.25">
      <c r="A172" s="85">
        <v>92</v>
      </c>
      <c r="B172" s="185" t="s">
        <v>374</v>
      </c>
      <c r="C172" s="58" t="s">
        <v>273</v>
      </c>
      <c r="D172" s="70" t="s">
        <v>335</v>
      </c>
      <c r="E172" s="234">
        <v>3148</v>
      </c>
      <c r="F172" s="234">
        <v>3195</v>
      </c>
      <c r="G172" s="234">
        <v>47</v>
      </c>
      <c r="H172" s="276">
        <v>110450</v>
      </c>
      <c r="I172" s="178">
        <v>53050</v>
      </c>
      <c r="J172" s="178">
        <v>163500</v>
      </c>
      <c r="K172" s="266"/>
      <c r="L172" s="1"/>
      <c r="M172" s="183"/>
    </row>
    <row r="173" spans="1:13" x14ac:dyDescent="0.25">
      <c r="A173" s="85">
        <v>93</v>
      </c>
      <c r="B173" s="179" t="s">
        <v>274</v>
      </c>
      <c r="C173" s="180" t="s">
        <v>275</v>
      </c>
      <c r="D173" s="181" t="s">
        <v>335</v>
      </c>
      <c r="E173" s="241">
        <v>3137</v>
      </c>
      <c r="F173" s="241">
        <v>3152</v>
      </c>
      <c r="G173" s="234">
        <v>15</v>
      </c>
      <c r="H173" s="310">
        <v>14550</v>
      </c>
      <c r="I173" s="178">
        <v>13500</v>
      </c>
      <c r="J173" s="178">
        <v>28050</v>
      </c>
      <c r="K173" s="266"/>
      <c r="L173" s="1"/>
      <c r="M173" s="193"/>
    </row>
    <row r="174" spans="1:13" x14ac:dyDescent="0.25">
      <c r="A174" s="255">
        <v>94</v>
      </c>
      <c r="B174" s="195" t="s">
        <v>276</v>
      </c>
      <c r="C174" s="196" t="s">
        <v>277</v>
      </c>
      <c r="D174" s="197" t="s">
        <v>335</v>
      </c>
      <c r="E174" s="198"/>
      <c r="F174" s="198" t="s">
        <v>457</v>
      </c>
      <c r="G174" s="244"/>
      <c r="H174" s="275"/>
      <c r="I174" s="200"/>
      <c r="J174" s="200"/>
      <c r="K174" s="275"/>
      <c r="L174" s="194"/>
      <c r="M174" s="200"/>
    </row>
    <row r="175" spans="1:13" x14ac:dyDescent="0.25">
      <c r="A175" s="85">
        <v>95</v>
      </c>
      <c r="B175" s="185" t="s">
        <v>278</v>
      </c>
      <c r="C175" s="58" t="s">
        <v>279</v>
      </c>
      <c r="D175" s="70" t="s">
        <v>335</v>
      </c>
      <c r="E175" s="234">
        <v>1187</v>
      </c>
      <c r="F175" s="234">
        <v>1196</v>
      </c>
      <c r="G175" s="234">
        <v>9</v>
      </c>
      <c r="H175" s="310">
        <v>66800</v>
      </c>
      <c r="I175" s="178">
        <v>9300</v>
      </c>
      <c r="J175" s="178">
        <v>76100</v>
      </c>
      <c r="K175" s="266"/>
      <c r="L175" s="1"/>
      <c r="M175" s="193"/>
    </row>
    <row r="176" spans="1:13" x14ac:dyDescent="0.25">
      <c r="A176" s="213">
        <v>96</v>
      </c>
      <c r="B176" s="185" t="s">
        <v>354</v>
      </c>
      <c r="C176" s="58" t="s">
        <v>281</v>
      </c>
      <c r="D176" s="70" t="s">
        <v>335</v>
      </c>
      <c r="E176" s="234">
        <v>932</v>
      </c>
      <c r="F176" s="234">
        <v>948</v>
      </c>
      <c r="G176" s="234">
        <v>16</v>
      </c>
      <c r="H176" s="276">
        <v>31400</v>
      </c>
      <c r="I176" s="178">
        <v>14550</v>
      </c>
      <c r="J176" s="178">
        <v>45950</v>
      </c>
      <c r="K176" s="266"/>
      <c r="L176" s="1"/>
      <c r="M176" s="183"/>
    </row>
    <row r="177" spans="1:13" x14ac:dyDescent="0.25">
      <c r="A177" s="85">
        <v>97</v>
      </c>
      <c r="B177" s="185" t="s">
        <v>282</v>
      </c>
      <c r="C177" s="58" t="s">
        <v>283</v>
      </c>
      <c r="D177" s="70" t="s">
        <v>335</v>
      </c>
      <c r="E177" s="234">
        <v>1678</v>
      </c>
      <c r="F177" s="234">
        <v>1683</v>
      </c>
      <c r="G177" s="234">
        <v>5</v>
      </c>
      <c r="H177" s="276">
        <v>5800</v>
      </c>
      <c r="I177" s="178">
        <v>6500</v>
      </c>
      <c r="J177" s="178">
        <v>12300</v>
      </c>
      <c r="K177" s="266"/>
      <c r="L177" s="1"/>
      <c r="M177" s="183"/>
    </row>
    <row r="178" spans="1:13" x14ac:dyDescent="0.25">
      <c r="A178" s="85">
        <v>98</v>
      </c>
      <c r="B178" s="185" t="s">
        <v>284</v>
      </c>
      <c r="C178" s="58" t="s">
        <v>285</v>
      </c>
      <c r="D178" s="70" t="s">
        <v>335</v>
      </c>
      <c r="E178" s="234">
        <v>2353</v>
      </c>
      <c r="F178" s="234">
        <v>2374</v>
      </c>
      <c r="G178" s="234">
        <v>21</v>
      </c>
      <c r="H178" s="276">
        <v>45600</v>
      </c>
      <c r="I178" s="178">
        <v>19800</v>
      </c>
      <c r="J178" s="178">
        <v>65400</v>
      </c>
      <c r="K178" s="266"/>
      <c r="L178" s="1"/>
      <c r="M178" s="183"/>
    </row>
    <row r="179" spans="1:13" x14ac:dyDescent="0.25">
      <c r="A179" s="85">
        <v>99</v>
      </c>
      <c r="B179" s="185" t="s">
        <v>286</v>
      </c>
      <c r="C179" s="58" t="s">
        <v>287</v>
      </c>
      <c r="D179" s="70" t="s">
        <v>335</v>
      </c>
      <c r="E179" s="234">
        <v>1176</v>
      </c>
      <c r="F179" s="234">
        <v>1195</v>
      </c>
      <c r="G179" s="234">
        <v>19</v>
      </c>
      <c r="H179" s="276">
        <v>43200</v>
      </c>
      <c r="I179" s="178">
        <v>17700</v>
      </c>
      <c r="J179" s="178">
        <v>60900</v>
      </c>
      <c r="K179" s="266"/>
      <c r="L179" s="1"/>
      <c r="M179" s="183"/>
    </row>
    <row r="180" spans="1:13" x14ac:dyDescent="0.25">
      <c r="A180" s="85">
        <v>100</v>
      </c>
      <c r="B180" s="185" t="s">
        <v>288</v>
      </c>
      <c r="C180" s="58" t="s">
        <v>289</v>
      </c>
      <c r="D180" s="70" t="s">
        <v>335</v>
      </c>
      <c r="E180" s="234">
        <v>46</v>
      </c>
      <c r="F180" s="234">
        <v>62</v>
      </c>
      <c r="G180" s="234">
        <v>16</v>
      </c>
      <c r="H180" s="276">
        <v>19800</v>
      </c>
      <c r="I180" s="178">
        <v>14550</v>
      </c>
      <c r="J180" s="178">
        <v>34350</v>
      </c>
      <c r="K180" s="266"/>
      <c r="L180" s="1"/>
      <c r="M180" s="183"/>
    </row>
    <row r="181" spans="1:13" x14ac:dyDescent="0.25">
      <c r="A181" s="213">
        <v>101</v>
      </c>
      <c r="B181" s="248" t="s">
        <v>290</v>
      </c>
      <c r="C181" s="249" t="s">
        <v>291</v>
      </c>
      <c r="D181" s="250" t="s">
        <v>335</v>
      </c>
      <c r="E181" s="267">
        <v>1445</v>
      </c>
      <c r="F181" s="267"/>
      <c r="G181" s="234"/>
      <c r="H181" s="276"/>
      <c r="I181" s="178"/>
      <c r="J181" s="178"/>
      <c r="K181" s="266"/>
      <c r="L181" s="1"/>
      <c r="M181" s="183"/>
    </row>
    <row r="182" spans="1:13" x14ac:dyDescent="0.25">
      <c r="A182" s="85">
        <v>102</v>
      </c>
      <c r="B182" s="248" t="s">
        <v>292</v>
      </c>
      <c r="C182" s="249" t="s">
        <v>293</v>
      </c>
      <c r="D182" s="250" t="s">
        <v>335</v>
      </c>
      <c r="E182" s="234">
        <v>1816</v>
      </c>
      <c r="F182" s="234"/>
      <c r="G182" s="234"/>
      <c r="H182" s="276"/>
      <c r="I182" s="178"/>
      <c r="J182" s="178"/>
      <c r="K182" s="266"/>
      <c r="L182" s="1"/>
      <c r="M182" s="183"/>
    </row>
    <row r="183" spans="1:13" x14ac:dyDescent="0.25">
      <c r="A183" s="85">
        <v>103</v>
      </c>
      <c r="B183" s="185" t="s">
        <v>294</v>
      </c>
      <c r="C183" s="58" t="s">
        <v>295</v>
      </c>
      <c r="D183" s="70" t="s">
        <v>335</v>
      </c>
      <c r="E183" s="245">
        <v>1010</v>
      </c>
      <c r="F183" s="245">
        <v>1033</v>
      </c>
      <c r="G183" s="245">
        <v>23</v>
      </c>
      <c r="H183" s="276"/>
      <c r="I183" s="177">
        <v>21900</v>
      </c>
      <c r="J183" s="177">
        <v>21900</v>
      </c>
      <c r="K183" s="266"/>
      <c r="L183" s="1"/>
      <c r="M183" s="166"/>
    </row>
    <row r="184" spans="1:13" x14ac:dyDescent="0.25">
      <c r="A184" s="85">
        <v>104</v>
      </c>
      <c r="B184" s="185" t="s">
        <v>296</v>
      </c>
      <c r="C184" s="58" t="s">
        <v>297</v>
      </c>
      <c r="D184" s="70" t="s">
        <v>335</v>
      </c>
      <c r="E184" s="234">
        <v>876</v>
      </c>
      <c r="F184" s="234">
        <v>884</v>
      </c>
      <c r="G184" s="234">
        <v>8</v>
      </c>
      <c r="H184" s="183">
        <v>26670</v>
      </c>
      <c r="I184" s="178">
        <v>8600</v>
      </c>
      <c r="J184" s="178">
        <v>35270</v>
      </c>
      <c r="K184" s="266"/>
      <c r="L184" s="1"/>
      <c r="M184" s="183"/>
    </row>
    <row r="185" spans="1:13" x14ac:dyDescent="0.25">
      <c r="A185" s="85">
        <v>105</v>
      </c>
      <c r="B185" s="185" t="s">
        <v>366</v>
      </c>
      <c r="C185" s="58" t="s">
        <v>299</v>
      </c>
      <c r="D185" s="70" t="s">
        <v>335</v>
      </c>
      <c r="E185" s="234">
        <v>2815</v>
      </c>
      <c r="F185" s="234">
        <v>2828</v>
      </c>
      <c r="G185" s="234">
        <v>13</v>
      </c>
      <c r="H185" s="183">
        <v>26670</v>
      </c>
      <c r="I185" s="178">
        <v>12100</v>
      </c>
      <c r="J185" s="178">
        <v>38770</v>
      </c>
      <c r="K185" s="266"/>
      <c r="L185" s="1"/>
      <c r="M185" s="183"/>
    </row>
    <row r="186" spans="1:13" x14ac:dyDescent="0.25">
      <c r="A186" s="85">
        <v>106</v>
      </c>
      <c r="B186" s="248" t="s">
        <v>300</v>
      </c>
      <c r="C186" s="249" t="s">
        <v>301</v>
      </c>
      <c r="D186" s="250" t="s">
        <v>335</v>
      </c>
      <c r="E186" s="267">
        <v>5106</v>
      </c>
      <c r="F186" s="267">
        <v>5107</v>
      </c>
      <c r="G186" s="234">
        <v>1</v>
      </c>
      <c r="H186" s="276">
        <v>12300</v>
      </c>
      <c r="I186" s="178">
        <v>3700</v>
      </c>
      <c r="J186" s="178">
        <v>16000</v>
      </c>
      <c r="K186" s="266"/>
      <c r="L186" s="1"/>
      <c r="M186" s="183"/>
    </row>
    <row r="187" spans="1:13" x14ac:dyDescent="0.25">
      <c r="A187" s="85">
        <v>107</v>
      </c>
      <c r="B187" s="185" t="s">
        <v>302</v>
      </c>
      <c r="C187" s="58" t="s">
        <v>303</v>
      </c>
      <c r="D187" s="70" t="s">
        <v>335</v>
      </c>
      <c r="E187" s="234">
        <v>716</v>
      </c>
      <c r="F187" s="234">
        <v>730</v>
      </c>
      <c r="G187" s="234">
        <v>14</v>
      </c>
      <c r="H187" s="276"/>
      <c r="I187" s="178">
        <v>12800</v>
      </c>
      <c r="J187" s="178">
        <v>12800</v>
      </c>
      <c r="K187" s="266"/>
      <c r="L187" s="1"/>
      <c r="M187" s="183"/>
    </row>
    <row r="188" spans="1:13" x14ac:dyDescent="0.25">
      <c r="A188" s="85">
        <v>108</v>
      </c>
      <c r="B188" s="179" t="s">
        <v>304</v>
      </c>
      <c r="C188" s="180" t="s">
        <v>305</v>
      </c>
      <c r="D188" s="181" t="s">
        <v>335</v>
      </c>
      <c r="E188" s="241">
        <v>3474</v>
      </c>
      <c r="F188" s="241">
        <v>3486</v>
      </c>
      <c r="G188" s="234">
        <v>12</v>
      </c>
      <c r="H188" s="276">
        <v>3000</v>
      </c>
      <c r="I188" s="178">
        <v>11400</v>
      </c>
      <c r="J188" s="178">
        <v>14400</v>
      </c>
      <c r="K188" s="266"/>
      <c r="L188" s="1"/>
      <c r="M188" s="183"/>
    </row>
    <row r="189" spans="1:13" x14ac:dyDescent="0.25">
      <c r="A189" s="85">
        <v>109</v>
      </c>
      <c r="B189" s="185" t="s">
        <v>306</v>
      </c>
      <c r="C189" s="58" t="s">
        <v>307</v>
      </c>
      <c r="D189" s="70" t="s">
        <v>335</v>
      </c>
      <c r="E189" s="234">
        <v>2978</v>
      </c>
      <c r="F189" s="234">
        <v>2986</v>
      </c>
      <c r="G189" s="234">
        <v>8</v>
      </c>
      <c r="H189" s="183">
        <v>7590</v>
      </c>
      <c r="I189" s="178">
        <v>8600</v>
      </c>
      <c r="J189" s="178">
        <v>16190</v>
      </c>
      <c r="K189" s="266"/>
      <c r="L189" s="1"/>
      <c r="M189" s="183"/>
    </row>
    <row r="190" spans="1:13" x14ac:dyDescent="0.25">
      <c r="A190" s="85">
        <v>110</v>
      </c>
      <c r="B190" s="179" t="s">
        <v>308</v>
      </c>
      <c r="C190" s="180" t="s">
        <v>309</v>
      </c>
      <c r="D190" s="181" t="s">
        <v>335</v>
      </c>
      <c r="E190" s="234">
        <v>51</v>
      </c>
      <c r="F190" s="234">
        <v>51</v>
      </c>
      <c r="G190" s="234">
        <v>0</v>
      </c>
      <c r="H190" s="276"/>
      <c r="I190" s="178">
        <v>3000</v>
      </c>
      <c r="J190" s="178">
        <v>3000</v>
      </c>
      <c r="K190" s="266"/>
      <c r="L190" s="1"/>
      <c r="M190" s="183"/>
    </row>
    <row r="191" spans="1:13" x14ac:dyDescent="0.25">
      <c r="A191" s="85">
        <v>111</v>
      </c>
      <c r="B191" s="179" t="s">
        <v>432</v>
      </c>
      <c r="C191" s="180" t="s">
        <v>311</v>
      </c>
      <c r="D191" s="181" t="s">
        <v>334</v>
      </c>
      <c r="E191" s="241">
        <v>2241</v>
      </c>
      <c r="F191" s="241">
        <v>2241</v>
      </c>
      <c r="G191" s="234">
        <v>0</v>
      </c>
      <c r="H191" s="276"/>
      <c r="I191" s="178">
        <v>3000</v>
      </c>
      <c r="J191" s="178">
        <v>3000</v>
      </c>
      <c r="K191" s="266"/>
      <c r="L191" s="1"/>
      <c r="M191" s="183"/>
    </row>
    <row r="192" spans="1:13" x14ac:dyDescent="0.25">
      <c r="A192" s="85">
        <v>112</v>
      </c>
      <c r="B192" s="248" t="s">
        <v>312</v>
      </c>
      <c r="C192" s="249" t="s">
        <v>313</v>
      </c>
      <c r="D192" s="250" t="s">
        <v>335</v>
      </c>
      <c r="E192" s="267">
        <v>2587</v>
      </c>
      <c r="F192" s="267">
        <v>2601</v>
      </c>
      <c r="G192" s="234">
        <v>14</v>
      </c>
      <c r="H192" s="276">
        <v>8600</v>
      </c>
      <c r="I192" s="178">
        <v>12800</v>
      </c>
      <c r="J192" s="178">
        <v>21400</v>
      </c>
      <c r="K192" s="266"/>
      <c r="L192" s="1"/>
      <c r="M192" s="183"/>
    </row>
    <row r="193" spans="1:13" x14ac:dyDescent="0.25">
      <c r="A193" s="85">
        <v>113</v>
      </c>
      <c r="B193" s="185" t="s">
        <v>314</v>
      </c>
      <c r="C193" s="58" t="s">
        <v>315</v>
      </c>
      <c r="D193" s="70" t="s">
        <v>335</v>
      </c>
      <c r="E193" s="234">
        <v>1339</v>
      </c>
      <c r="F193" s="234">
        <v>1354</v>
      </c>
      <c r="G193" s="234">
        <v>15</v>
      </c>
      <c r="H193" s="276">
        <v>34950</v>
      </c>
      <c r="I193" s="178">
        <v>13500</v>
      </c>
      <c r="J193" s="178">
        <v>48450</v>
      </c>
      <c r="K193" s="266"/>
      <c r="L193" s="1"/>
      <c r="M193" s="183"/>
    </row>
    <row r="194" spans="1:13" x14ac:dyDescent="0.25">
      <c r="A194" s="85">
        <v>114</v>
      </c>
      <c r="B194" s="185" t="s">
        <v>316</v>
      </c>
      <c r="C194" s="58" t="s">
        <v>317</v>
      </c>
      <c r="D194" s="70" t="s">
        <v>335</v>
      </c>
      <c r="E194" s="234">
        <v>4045</v>
      </c>
      <c r="F194" s="234">
        <v>4046</v>
      </c>
      <c r="G194" s="234">
        <v>1</v>
      </c>
      <c r="H194" s="276">
        <v>3600</v>
      </c>
      <c r="I194" s="178">
        <v>3700</v>
      </c>
      <c r="J194" s="178">
        <v>7300</v>
      </c>
      <c r="K194" s="266"/>
      <c r="L194" s="1"/>
      <c r="M194" s="192"/>
    </row>
    <row r="195" spans="1:13" x14ac:dyDescent="0.25">
      <c r="A195" s="85">
        <v>115</v>
      </c>
      <c r="B195" s="185" t="s">
        <v>318</v>
      </c>
      <c r="C195" s="58" t="s">
        <v>319</v>
      </c>
      <c r="D195" s="70" t="s">
        <v>335</v>
      </c>
      <c r="E195" s="234">
        <v>1070</v>
      </c>
      <c r="F195" s="234">
        <v>1071</v>
      </c>
      <c r="G195" s="234">
        <v>1</v>
      </c>
      <c r="H195" s="276">
        <v>23200</v>
      </c>
      <c r="I195" s="178">
        <v>3700</v>
      </c>
      <c r="J195" s="178">
        <v>26900</v>
      </c>
      <c r="K195" s="266"/>
      <c r="L195" s="1"/>
      <c r="M195" s="183"/>
    </row>
    <row r="196" spans="1:13" x14ac:dyDescent="0.25">
      <c r="A196" s="85">
        <v>116</v>
      </c>
      <c r="B196" s="185" t="s">
        <v>320</v>
      </c>
      <c r="C196" s="58" t="s">
        <v>321</v>
      </c>
      <c r="D196" s="70" t="s">
        <v>335</v>
      </c>
      <c r="E196" s="234">
        <v>1290</v>
      </c>
      <c r="F196" s="234">
        <v>1297</v>
      </c>
      <c r="G196" s="234">
        <v>7</v>
      </c>
      <c r="H196" s="276">
        <v>35500</v>
      </c>
      <c r="I196" s="178">
        <v>7900</v>
      </c>
      <c r="J196" s="178">
        <v>43400</v>
      </c>
      <c r="K196" s="266"/>
      <c r="L196" s="1"/>
      <c r="M196" s="183"/>
    </row>
    <row r="197" spans="1:13" x14ac:dyDescent="0.25">
      <c r="A197" s="85">
        <v>117</v>
      </c>
      <c r="B197" s="185" t="s">
        <v>362</v>
      </c>
      <c r="C197" s="58" t="s">
        <v>323</v>
      </c>
      <c r="D197" s="70" t="s">
        <v>335</v>
      </c>
      <c r="E197" s="234">
        <v>2905</v>
      </c>
      <c r="F197" s="234">
        <v>2930</v>
      </c>
      <c r="G197" s="234">
        <v>25</v>
      </c>
      <c r="H197" s="310">
        <v>73650</v>
      </c>
      <c r="I197" s="178">
        <v>24000</v>
      </c>
      <c r="J197" s="178">
        <v>97650</v>
      </c>
      <c r="K197" s="266"/>
      <c r="L197" s="1"/>
      <c r="M197" s="193"/>
    </row>
    <row r="198" spans="1:13" x14ac:dyDescent="0.25">
      <c r="A198" s="85">
        <v>118</v>
      </c>
      <c r="B198" s="185" t="s">
        <v>324</v>
      </c>
      <c r="C198" s="58" t="s">
        <v>325</v>
      </c>
      <c r="D198" s="70" t="s">
        <v>335</v>
      </c>
      <c r="E198" s="234">
        <v>459</v>
      </c>
      <c r="F198" s="234">
        <v>466</v>
      </c>
      <c r="G198" s="234">
        <v>7</v>
      </c>
      <c r="H198" s="276"/>
      <c r="I198" s="178">
        <v>7900</v>
      </c>
      <c r="J198" s="178">
        <v>7900</v>
      </c>
      <c r="K198" s="266"/>
      <c r="L198" s="1"/>
      <c r="M198" s="183"/>
    </row>
    <row r="199" spans="1:13" x14ac:dyDescent="0.25">
      <c r="A199" s="85">
        <v>119</v>
      </c>
      <c r="B199" s="179" t="s">
        <v>326</v>
      </c>
      <c r="C199" s="180" t="s">
        <v>327</v>
      </c>
      <c r="D199" s="181" t="s">
        <v>335</v>
      </c>
      <c r="E199" s="241">
        <v>2957</v>
      </c>
      <c r="F199" s="241">
        <v>2962</v>
      </c>
      <c r="G199" s="234">
        <v>5</v>
      </c>
      <c r="H199" s="276"/>
      <c r="I199" s="178">
        <v>6500</v>
      </c>
      <c r="J199" s="178">
        <v>6500</v>
      </c>
      <c r="K199" s="266"/>
      <c r="L199" s="1"/>
      <c r="M199" s="183"/>
    </row>
    <row r="200" spans="1:13" x14ac:dyDescent="0.25">
      <c r="A200" s="85">
        <v>120</v>
      </c>
      <c r="B200" s="179" t="s">
        <v>328</v>
      </c>
      <c r="C200" s="180" t="s">
        <v>329</v>
      </c>
      <c r="D200" s="181" t="s">
        <v>335</v>
      </c>
      <c r="E200" s="241">
        <v>2646</v>
      </c>
      <c r="F200" s="241">
        <v>2673</v>
      </c>
      <c r="G200" s="234">
        <v>27</v>
      </c>
      <c r="H200" s="276"/>
      <c r="I200" s="178">
        <v>26100</v>
      </c>
      <c r="J200" s="178">
        <v>26100</v>
      </c>
      <c r="K200" s="266"/>
      <c r="L200" s="1"/>
      <c r="M200" s="183"/>
    </row>
    <row r="201" spans="1:13" x14ac:dyDescent="0.25">
      <c r="A201" s="85">
        <v>121</v>
      </c>
      <c r="B201" s="185" t="s">
        <v>363</v>
      </c>
      <c r="C201" s="58" t="s">
        <v>331</v>
      </c>
      <c r="D201" s="70" t="s">
        <v>335</v>
      </c>
      <c r="E201" s="234">
        <v>1222</v>
      </c>
      <c r="F201" s="234">
        <v>1224</v>
      </c>
      <c r="G201" s="234">
        <v>2</v>
      </c>
      <c r="H201" s="276">
        <v>3900</v>
      </c>
      <c r="I201" s="178">
        <v>4400</v>
      </c>
      <c r="J201" s="178">
        <v>8300</v>
      </c>
      <c r="K201" s="266"/>
      <c r="L201" s="1"/>
      <c r="M201" s="192"/>
    </row>
    <row r="202" spans="1:13" x14ac:dyDescent="0.25">
      <c r="A202" s="85">
        <f>A201+1</f>
        <v>122</v>
      </c>
      <c r="B202" s="185" t="s">
        <v>332</v>
      </c>
      <c r="C202" s="58" t="s">
        <v>333</v>
      </c>
      <c r="D202" s="70" t="s">
        <v>335</v>
      </c>
      <c r="E202" s="234">
        <v>977</v>
      </c>
      <c r="F202" s="234">
        <v>995</v>
      </c>
      <c r="G202" s="234">
        <v>18</v>
      </c>
      <c r="H202" s="276">
        <v>69250</v>
      </c>
      <c r="I202" s="178">
        <v>16650</v>
      </c>
      <c r="J202" s="178">
        <v>85900</v>
      </c>
      <c r="K202" s="266"/>
      <c r="L202" s="1"/>
      <c r="M202" s="183"/>
    </row>
    <row r="203" spans="1:13" x14ac:dyDescent="0.25">
      <c r="A203" s="85">
        <v>123</v>
      </c>
      <c r="B203" s="186" t="s">
        <v>449</v>
      </c>
      <c r="C203" s="1"/>
      <c r="D203" s="70" t="s">
        <v>335</v>
      </c>
      <c r="E203" s="245"/>
      <c r="F203" s="245"/>
      <c r="G203" s="245"/>
      <c r="H203" s="276"/>
      <c r="I203" s="165"/>
      <c r="J203" s="177"/>
      <c r="K203" s="266"/>
      <c r="L203" s="1"/>
      <c r="M203" s="183"/>
    </row>
  </sheetData>
  <mergeCells count="2">
    <mergeCell ref="A4:C4"/>
    <mergeCell ref="A79:C79"/>
  </mergeCells>
  <pageMargins left="0.7" right="0.7" top="0.75" bottom="0.75" header="0.3" footer="0.3"/>
  <pageSetup paperSize="9"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 OCTUBRE 2025</vt:lpstr>
      <vt:lpstr>NOVIEMBRE</vt:lpstr>
      <vt:lpstr>DICIEMBRE</vt:lpstr>
      <vt:lpstr>ENERO 2026</vt:lpstr>
      <vt:lpstr> FEBRERO 2026</vt:lpstr>
      <vt:lpstr>MARZO 2026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2026-03-20T05:17:31Z</dcterms:modified>
</cp:coreProperties>
</file>